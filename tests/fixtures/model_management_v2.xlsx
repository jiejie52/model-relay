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35fd66706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优先级" sheetId="1" r:id="Re8cf002527dc42d4"/>
    <x:sheet xmlns:r="http://schemas.openxmlformats.org/officeDocument/2006/relationships" name="模型清单" sheetId="2" r:id="Raa07e268384546c5"/>
    <x:sheet xmlns:r="http://schemas.openxmlformats.org/officeDocument/2006/relationships" name="缓存设置" sheetId="3" r:id="R7a2511e91ecc4f69"/>
    <x:sheet xmlns:r="http://schemas.openxmlformats.org/officeDocument/2006/relationships" name="填写说明" sheetId="4" r:id="R40477d09466f4b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193047"/>
      <x:name val="Droid Sans Fallback"/>
    </x:font>
    <x:font>
      <x:i/>
      <x:sz val="10"/>
      <x:color rgb="FF53697C"/>
      <x:name val="Droid Sans Fallback"/>
    </x:font>
    <x:font>
      <x:sz val="10"/>
      <x:color rgb="FF53697C"/>
      <x:name val="Droid Sans Fallback"/>
    </x:font>
    <x:font>
      <x:sz val="10"/>
      <x:color rgb="FF193047"/>
      <x:name val="Droid Sans Fallback"/>
    </x:font>
    <x:font>
      <x:b/>
      <x:sz val="10"/>
      <x:color rgb="FFFFFFFF"/>
      <x:name val="Droid Sans Fallback"/>
    </x:font>
    <x:font>
      <x:b/>
      <x:sz val="10"/>
      <x:color rgb="FF193047"/>
      <x:name val="Droid Sans Fallback"/>
    </x:font>
    <x:font>
      <x:b/>
      <x:sz val="11"/>
      <x:color rgb="FF193047"/>
      <x:name val="Droid Sans Fallback"/>
    </x:font>
  </x:fonts>
  <x:fills count="5">
    <x:fill>
      <x:patternFill patternType="none"/>
    </x:fill>
    <x:fill>
      <x:patternFill patternType="gray125"/>
    </x:fill>
    <x:fill>
      <x:patternFill patternType="solid">
        <x:fgColor rgb="FF183653"/>
      </x:patternFill>
    </x:fill>
    <x:fill>
      <x:patternFill patternType="solid">
        <x:fgColor rgb="FFFFF5D9"/>
      </x:patternFill>
    </x:fill>
    <x:fill>
      <x:patternFill patternType="solid">
        <x:fgColor rgb="FFE7F0F7"/>
      </x:patternFill>
    </x:fill>
  </x:fills>
  <x:borders count="5">
    <x:border>
      <x:left/>
      <x:right/>
      <x:top/>
      <x:bottom/>
      <x:diagonal/>
    </x:border>
    <x:border>
      <x:left/>
      <x:right style="thin">
        <x:color rgb="FFD3E0EA"/>
      </x:right>
      <x:top/>
      <x:bottom/>
      <x:diagonal/>
    </x:border>
    <x:border>
      <x:left/>
      <x:right/>
      <x:top/>
      <x:bottom style="thin">
        <x:color rgb="FFD3E0EA"/>
      </x:bottom>
      <x:diagonal/>
    </x:border>
    <x:border>
      <x:left/>
      <x:right/>
      <x:top style="thin">
        <x:color rgb="FFD3E0EA"/>
      </x:top>
      <x:bottom style="thin">
        <x:color rgb="FFD3E0EA"/>
      </x:bottom>
      <x:diagonal/>
    </x:border>
    <x:border>
      <x:left/>
      <x:right/>
      <x:top style="thin">
        <x:color rgb="FFD3E0EA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right" vertical="center"/>
    </x:xf>
    <x:xf numFmtId="0" fontId="4" fillId="3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12622"/>
      </x:font>
      <x:fill>
        <x:patternFill patternType="solid">
          <x:bgColor rgb="FFFFE0DE"/>
        </x:patternFill>
      </x:fill>
    </x:dxf>
    <x:dxf>
      <x:font>
        <x:b/>
        <x:color rgb="FFA12622"/>
      </x:font>
      <x:fill>
        <x:patternFill patternType="solid">
          <x:bgColor rgb="FFFFE0DE"/>
        </x:patternFill>
      </x:fill>
    </x:dxf>
    <x:dxf>
      <x:font>
        <x:b/>
        <x:color rgb="FFA12622"/>
      </x:font>
      <x:fill>
        <x:patternFill patternType="solid">
          <x:bgColor rgb="FFFF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edc7f7328452f" /><Relationship Type="http://schemas.openxmlformats.org/officeDocument/2006/relationships/theme" Target="/xl/theme/theme1.xml" Id="R7eda0100b3d44ce9" /><Relationship Type="http://schemas.openxmlformats.org/officeDocument/2006/relationships/sharedStrings" Target="/xl/sharedStrings.xml" Id="R1ed303a529c34b8e" /><Relationship Type="http://schemas.openxmlformats.org/officeDocument/2006/relationships/worksheet" Target="/xl/worksheets/sheet1.xml" Id="Re8cf002527dc42d4" /><Relationship Type="http://schemas.openxmlformats.org/officeDocument/2006/relationships/worksheet" Target="/xl/worksheets/sheet2.xml" Id="Raa07e268384546c5" /><Relationship Type="http://schemas.openxmlformats.org/officeDocument/2006/relationships/worksheet" Target="/xl/worksheets/sheet3.xml" Id="R7a2511e91ecc4f69" /><Relationship Type="http://schemas.openxmlformats.org/officeDocument/2006/relationships/worksheet" Target="/xl/worksheets/sheet4.xml" Id="R40477d09466f4b1b" /></Relationships>
</file>

<file path=xl/tables/table1.xml><?xml version="1.0" encoding="utf-8"?>
<x:table xmlns:x="http://schemas.openxmlformats.org/spreadsheetml/2006/main" id="1" name="ChannelPriority" displayName="ChannelPriority" ref="A5:I25" headerRowCount="1" totalsRowCount="0" totalsRowShown="0">
  <x:tableColumns count="9">
    <x:tableColumn id="1" name="对外模型名"/>
    <x:tableColumn id="2" name="环境"/>
    <x:tableColumn id="3" name="渠道名称"/>
    <x:tableColumn id="4" name="渠道侧模型名"/>
    <x:tableColumn id="5" name="顺位"/>
    <x:tableColumn id="6" name="启用意向"/>
    <x:tableColumn id="7" name="不可用时"/>
    <x:tableColumn id="8" name="说明"/>
    <x:tableColumn id="9" name="本地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Directory" displayName="ModelDirectory" ref="A5:I25" headerRowCount="1" totalsRowCount="0" totalsRowShown="0">
  <x:tableColumns count="9">
    <x:tableColumn id="1" name="显示名称"/>
    <x:tableColumn id="2" name="对外模型名"/>
    <x:tableColumn id="3" name="提供方"/>
    <x:tableColumn id="4" name="输入类型"/>
    <x:tableColumn id="5" name="思考档位"/>
    <x:tableColumn id="6" name="结构化输出"/>
    <x:tableColumn id="7" name="目标输出上限 Token"/>
    <x:tableColumn id="8" name="发布意向"/>
    <x:tableColumn id="9" name="本地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cheSettings" displayName="CacheSettings" ref="A5:K25" headerRowCount="1" totalsRowCount="0" totalsRowShown="0">
  <x:tableColumns count="11">
    <x:tableColumn id="1" name="对外模型名"/>
    <x:tableColumn id="2" name="渠道名称"/>
    <x:tableColumn id="3" name="缓存机制"/>
    <x:tableColumn id="4" name="默认策略"/>
    <x:tableColumn id="5" name="可选强制"/>
    <x:tableColumn id="6" name="计划门槛 Token"/>
    <x:tableColumn id="7" name="资源有效期 分钟"/>
    <x:tableColumn id="8" name="自动准备失败时"/>
    <x:tableColumn id="9" name="启用意向"/>
    <x:tableColumn id="10" name="说明"/>
    <x:tableColumn id="11" name="本地检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ageRules" displayName="UsageRules" ref="A5:B15" headerRowCount="1" totalsRowCount="0" totalsRowShown="0">
  <x:tableColumns count="2">
    <x:tableColumn id="1" name="事项"/>
    <x:tableColumn id="2" name="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f2606841bf49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7c5afaeb90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43380678434a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693f88b036460e" /></Relationships>
</file>

<file path=xl/worksheets/sheet1.xml><?xml version="1.0" encoding="utf-8"?>
<x:worksheet xmlns:x="http://schemas.openxmlformats.org/spreadsheetml/2006/main">
  <x:sheetPr>
    <x:tabColor rgb="FF1836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25" hidden="0" customWidth="1"/>
    <x:col min="4" max="4" width="26" hidden="0" customWidth="1"/>
    <x:col min="5" max="5" width="10" hidden="0" customWidth="1"/>
    <x:col min="6" max="6" width="14" hidden="0" customWidth="1"/>
    <x:col min="7" max="7" width="20" hidden="0" customWidth="1"/>
    <x:col min="8" max="8" width="34" hidden="0" customWidth="1"/>
    <x:col min="9" max="9" width="19" hidden="0" customWidth="1"/>
  </x:cols>
  <x:sheetData>
    <x:row r="1">
      <x:c r="A1" s="1" t="str">
        <x:v>渠道优先级</x:v>
      </x:c>
    </x:row>
    <x:row r="2">
      <x:c r="A2" s="2" t="str">
        <x:v>按“对外模型名 + 环境”配置顺位；1 最优先。只影响新会话的渠道选择。</x:v>
      </x:c>
    </x:row>
    <x:row r="3">
      <x:c r="A3" s="3" t="str">
        <x:v>浅黄色单元格可编辑；“本地检查”仅检查表内填写，正式生效仍需系统验证与发布。</x:v>
      </x:c>
    </x:row>
    <x:row r="5" ht="31" customHeight="1">
      <x:c r="A5" s="8" t="str">
        <x:v>对外模型名</x:v>
      </x:c>
      <x:c r="B5" s="8" t="str">
        <x:v>环境</x:v>
      </x:c>
      <x:c r="C5" s="8" t="str">
        <x:v>渠道名称</x:v>
      </x:c>
      <x:c r="D5" s="8" t="str">
        <x:v>渠道侧模型名</x:v>
      </x:c>
      <x:c r="E5" s="8" t="str">
        <x:v>顺位</x:v>
      </x:c>
      <x:c r="F5" s="8" t="str">
        <x:v>启用意向</x:v>
      </x:c>
      <x:c r="G5" s="8" t="str">
        <x:v>不可用时</x:v>
      </x:c>
      <x:c r="H5" s="8" t="str">
        <x:v>说明</x:v>
      </x:c>
      <x:c r="I5" s="8" t="str">
        <x:v>本地检查</x:v>
      </x:c>
    </x:row>
    <x:row r="6" ht="31" customHeight="1">
      <x:c r="A6" s="9" t="str">
        <x:v>gemini-3.6-flash</x:v>
      </x:c>
      <x:c r="B6" s="9" t="str">
        <x:v>测试</x:v>
      </x:c>
      <x:c r="C6" s="9" t="str">
        <x:v>AIHubMix Gemini</x:v>
      </x:c>
      <x:c r="D6" s="9" t="str">
        <x:v>gemini-3.6-flash</x:v>
      </x:c>
      <x:c r="E6" s="12" t="n">
        <x:v>1</x:v>
      </x:c>
      <x:c r="F6" s="11" t="str">
        <x:v>停用</x:v>
      </x:c>
      <x:c r="G6" s="9" t="str">
        <x:v>尝试下一顺位</x:v>
      </x:c>
      <x:c r="H6" s="9" t="str">
        <x:v>现有 Gemini 连接；该新模型待验证</x:v>
      </x:c>
      <x:c r="I6" s="10" t="str">
        <x:f>IF(A6="","",IF(COUNTIF('模型清单'!$B$6:$B$25,A6)=0,"模型未登记",IF(OR(B6="",C6="",D6="",E6="",F6="",G6=""),"信息不完整",IF(COUNTIFS($A$6:$A$25,A6,$B$6:$B$25,B6,$E$6:$E$25,E6)&gt;1,"顺位重复",IF(COUNTIFS($A$6:$A$25,A6,$B$6:$B$25,B6,$C$6:$C$25,C6)&gt;1,"渠道重复","待系统验证")))))</x:f>
        <x:v>待系统验证</x:v>
      </x:c>
    </x:row>
    <x:row r="7" ht="31" customHeight="1">
      <x:c r="A7" s="9" t="str">
        <x:v>gemini-3.6-flash</x:v>
      </x:c>
      <x:c r="B7" s="9" t="str">
        <x:v>测试</x:v>
      </x:c>
      <x:c r="C7" s="9" t="str">
        <x:v>Google 官方（规划）</x:v>
      </x:c>
      <x:c r="D7" s="9" t="str">
        <x:v>gemini-3.6-flash</x:v>
      </x:c>
      <x:c r="E7" s="12" t="n">
        <x:v>2</x:v>
      </x:c>
      <x:c r="F7" s="11" t="str">
        <x:v>停用</x:v>
      </x:c>
      <x:c r="G7" s="9" t="str">
        <x:v>拒绝新会话</x:v>
      </x:c>
      <x:c r="H7" s="9" t="str">
        <x:v>仅演示备用顺位；该渠道尚未接入</x:v>
      </x:c>
      <x:c r="I7" s="10" t="str">
        <x:f>IF(A7="","",IF(COUNTIF('模型清单'!$B$6:$B$25,A7)=0,"模型未登记",IF(OR(B7="",C7="",D7="",E7="",F7="",G7=""),"信息不完整",IF(COUNTIFS($A$6:$A$25,A7,$B$6:$B$25,B7,$E$6:$E$25,E7)&gt;1,"顺位重复",IF(COUNTIFS($A$6:$A$25,A7,$B$6:$B$25,B7,$C$6:$C$25,C7)&gt;1,"渠道重复","待系统验证")))))</x:f>
        <x:v>待系统验证</x:v>
      </x:c>
    </x:row>
    <x:row r="8" ht="31" customHeight="1">
      <x:c r="A8" s="9" t="str">
        <x:v>gemini-4-argon</x:v>
      </x:c>
      <x:c r="B8" s="9" t="str">
        <x:v>测试</x:v>
      </x:c>
      <x:c r="C8" s="9" t="str">
        <x:v>AIHubMix Gemini</x:v>
      </x:c>
      <x:c r="D8" s="9" t="str">
        <x:v>gemini-4-argon</x:v>
      </x:c>
      <x:c r="E8" s="12" t="n">
        <x:v>1</x:v>
      </x:c>
      <x:c r="F8" s="11" t="str">
        <x:v>停用</x:v>
      </x:c>
      <x:c r="G8" s="9" t="str">
        <x:v>尝试下一顺位</x:v>
      </x:c>
      <x:c r="H8" s="9" t="str">
        <x:v>隐式缓存投影与渠道验证尚未完成</x:v>
      </x:c>
      <x:c r="I8" s="10" t="str">
        <x:f>IF(A8="","",IF(COUNTIF('模型清单'!$B$6:$B$25,A8)=0,"模型未登记",IF(OR(B8="",C8="",D8="",E8="",F8="",G8=""),"信息不完整",IF(COUNTIFS($A$6:$A$25,A8,$B$6:$B$25,B8,$E$6:$E$25,E8)&gt;1,"顺位重复",IF(COUNTIFS($A$6:$A$25,A8,$B$6:$B$25,B8,$C$6:$C$25,C8)&gt;1,"渠道重复","待系统验证")))))</x:f>
        <x:v>待系统验证</x:v>
      </x:c>
    </x:row>
    <x:row r="9" ht="31" customHeight="1">
      <x:c r="A9" s="9" t="str">
        <x:v>gemini-4-argon</x:v>
      </x:c>
      <x:c r="B9" s="9" t="str">
        <x:v>测试</x:v>
      </x:c>
      <x:c r="C9" s="9" t="str">
        <x:v>Google 官方（规划）</x:v>
      </x:c>
      <x:c r="D9" s="9" t="str">
        <x:v>gemini-4-argon</x:v>
      </x:c>
      <x:c r="E9" s="12" t="n">
        <x:v>2</x:v>
      </x:c>
      <x:c r="F9" s="11" t="str">
        <x:v>停用</x:v>
      </x:c>
      <x:c r="G9" s="9" t="str">
        <x:v>拒绝新会话</x:v>
      </x:c>
      <x:c r="H9" s="9" t="str">
        <x:v>仅演示备用顺位；该渠道尚未接入</x:v>
      </x:c>
      <x:c r="I9" s="10" t="str">
        <x:f>IF(A9="","",IF(COUNTIF('模型清单'!$B$6:$B$25,A9)=0,"模型未登记",IF(OR(B9="",C9="",D9="",E9="",F9="",G9=""),"信息不完整",IF(COUNTIFS($A$6:$A$25,A9,$B$6:$B$25,B9,$E$6:$E$25,E9)&gt;1,"顺位重复",IF(COUNTIFS($A$6:$A$25,A9,$B$6:$B$25,B9,$C$6:$C$25,C9)&gt;1,"渠道重复","待系统验证")))))</x:f>
        <x:v>待系统验证</x:v>
      </x:c>
    </x:row>
    <x:row r="10" ht="31" customHeight="1">
      <x:c r="A10" s="9"/>
      <x:c r="B10" s="9"/>
      <x:c r="C10" s="9"/>
      <x:c r="D10" s="9"/>
      <x:c r="E10" s="12"/>
      <x:c r="F10" s="11"/>
      <x:c r="G10" s="9"/>
      <x:c r="H10" s="9"/>
      <x:c r="I10" s="10" t="str">
        <x:f>IF(A10="","",IF(COUNTIF('模型清单'!$B$6:$B$25,A10)=0,"模型未登记",IF(OR(B10="",C10="",D10="",E10="",F10="",G10=""),"信息不完整",IF(COUNTIFS($A$6:$A$25,A10,$B$6:$B$25,B10,$E$6:$E$25,E10)&gt;1,"顺位重复",IF(COUNTIFS($A$6:$A$25,A10,$B$6:$B$25,B10,$C$6:$C$25,C10)&gt;1,"渠道重复","待系统验证")))))</x:f>
      </x:c>
    </x:row>
    <x:row r="11" ht="31" customHeight="1">
      <x:c r="A11" s="9"/>
      <x:c r="B11" s="9"/>
      <x:c r="C11" s="9"/>
      <x:c r="D11" s="9"/>
      <x:c r="E11" s="12"/>
      <x:c r="F11" s="11"/>
      <x:c r="G11" s="9"/>
      <x:c r="H11" s="9"/>
      <x:c r="I11" s="10" t="str">
        <x:f>IF(A11="","",IF(COUNTIF('模型清单'!$B$6:$B$25,A11)=0,"模型未登记",IF(OR(B11="",C11="",D11="",E11="",F11="",G11=""),"信息不完整",IF(COUNTIFS($A$6:$A$25,A11,$B$6:$B$25,B11,$E$6:$E$25,E11)&gt;1,"顺位重复",IF(COUNTIFS($A$6:$A$25,A11,$B$6:$B$25,B11,$C$6:$C$25,C11)&gt;1,"渠道重复","待系统验证")))))</x:f>
      </x:c>
    </x:row>
    <x:row r="12" ht="31" customHeight="1">
      <x:c r="A12" s="9"/>
      <x:c r="B12" s="9"/>
      <x:c r="C12" s="9"/>
      <x:c r="D12" s="9"/>
      <x:c r="E12" s="12"/>
      <x:c r="F12" s="11"/>
      <x:c r="G12" s="9"/>
      <x:c r="H12" s="9"/>
      <x:c r="I12" s="10" t="str">
        <x:f>IF(A12="","",IF(COUNTIF('模型清单'!$B$6:$B$25,A12)=0,"模型未登记",IF(OR(B12="",C12="",D12="",E12="",F12="",G12=""),"信息不完整",IF(COUNTIFS($A$6:$A$25,A12,$B$6:$B$25,B12,$E$6:$E$25,E12)&gt;1,"顺位重复",IF(COUNTIFS($A$6:$A$25,A12,$B$6:$B$25,B12,$C$6:$C$25,C12)&gt;1,"渠道重复","待系统验证")))))</x:f>
      </x:c>
    </x:row>
    <x:row r="13" ht="31" customHeight="1">
      <x:c r="A13" s="9"/>
      <x:c r="B13" s="9"/>
      <x:c r="C13" s="9"/>
      <x:c r="D13" s="9"/>
      <x:c r="E13" s="12"/>
      <x:c r="F13" s="11"/>
      <x:c r="G13" s="9"/>
      <x:c r="H13" s="9"/>
      <x:c r="I13" s="10" t="str">
        <x:f>IF(A13="","",IF(COUNTIF('模型清单'!$B$6:$B$25,A13)=0,"模型未登记",IF(OR(B13="",C13="",D13="",E13="",F13="",G13=""),"信息不完整",IF(COUNTIFS($A$6:$A$25,A13,$B$6:$B$25,B13,$E$6:$E$25,E13)&gt;1,"顺位重复",IF(COUNTIFS($A$6:$A$25,A13,$B$6:$B$25,B13,$C$6:$C$25,C13)&gt;1,"渠道重复","待系统验证")))))</x:f>
      </x:c>
    </x:row>
    <x:row r="14" ht="31" customHeight="1">
      <x:c r="A14" s="9"/>
      <x:c r="B14" s="9"/>
      <x:c r="C14" s="9"/>
      <x:c r="D14" s="9"/>
      <x:c r="E14" s="12"/>
      <x:c r="F14" s="11"/>
      <x:c r="G14" s="9"/>
      <x:c r="H14" s="9"/>
      <x:c r="I14" s="10" t="str">
        <x:f>IF(A14="","",IF(COUNTIF('模型清单'!$B$6:$B$25,A14)=0,"模型未登记",IF(OR(B14="",C14="",D14="",E14="",F14="",G14=""),"信息不完整",IF(COUNTIFS($A$6:$A$25,A14,$B$6:$B$25,B14,$E$6:$E$25,E14)&gt;1,"顺位重复",IF(COUNTIFS($A$6:$A$25,A14,$B$6:$B$25,B14,$C$6:$C$25,C14)&gt;1,"渠道重复","待系统验证")))))</x:f>
      </x:c>
    </x:row>
    <x:row r="15" ht="31" customHeight="1">
      <x:c r="A15" s="9"/>
      <x:c r="B15" s="9"/>
      <x:c r="C15" s="9"/>
      <x:c r="D15" s="9"/>
      <x:c r="E15" s="12"/>
      <x:c r="F15" s="11"/>
      <x:c r="G15" s="9"/>
      <x:c r="H15" s="9"/>
      <x:c r="I15" s="10" t="str">
        <x:f>IF(A15="","",IF(COUNTIF('模型清单'!$B$6:$B$25,A15)=0,"模型未登记",IF(OR(B15="",C15="",D15="",E15="",F15="",G15=""),"信息不完整",IF(COUNTIFS($A$6:$A$25,A15,$B$6:$B$25,B15,$E$6:$E$25,E15)&gt;1,"顺位重复",IF(COUNTIFS($A$6:$A$25,A15,$B$6:$B$25,B15,$C$6:$C$25,C15)&gt;1,"渠道重复","待系统验证")))))</x:f>
      </x:c>
    </x:row>
    <x:row r="16" ht="31" customHeight="1">
      <x:c r="A16" s="9"/>
      <x:c r="B16" s="9"/>
      <x:c r="C16" s="9"/>
      <x:c r="D16" s="9"/>
      <x:c r="E16" s="12"/>
      <x:c r="F16" s="11"/>
      <x:c r="G16" s="9"/>
      <x:c r="H16" s="9"/>
      <x:c r="I16" s="10" t="str">
        <x:f>IF(A16="","",IF(COUNTIF('模型清单'!$B$6:$B$25,A16)=0,"模型未登记",IF(OR(B16="",C16="",D16="",E16="",F16="",G16=""),"信息不完整",IF(COUNTIFS($A$6:$A$25,A16,$B$6:$B$25,B16,$E$6:$E$25,E16)&gt;1,"顺位重复",IF(COUNTIFS($A$6:$A$25,A16,$B$6:$B$25,B16,$C$6:$C$25,C16)&gt;1,"渠道重复","待系统验证")))))</x:f>
      </x:c>
    </x:row>
    <x:row r="17" ht="31" customHeight="1">
      <x:c r="A17" s="9"/>
      <x:c r="B17" s="9"/>
      <x:c r="C17" s="9"/>
      <x:c r="D17" s="9"/>
      <x:c r="E17" s="12"/>
      <x:c r="F17" s="11"/>
      <x:c r="G17" s="9"/>
      <x:c r="H17" s="9"/>
      <x:c r="I17" s="10" t="str">
        <x:f>IF(A17="","",IF(COUNTIF('模型清单'!$B$6:$B$25,A17)=0,"模型未登记",IF(OR(B17="",C17="",D17="",E17="",F17="",G17=""),"信息不完整",IF(COUNTIFS($A$6:$A$25,A17,$B$6:$B$25,B17,$E$6:$E$25,E17)&gt;1,"顺位重复",IF(COUNTIFS($A$6:$A$25,A17,$B$6:$B$25,B17,$C$6:$C$25,C17)&gt;1,"渠道重复","待系统验证")))))</x:f>
      </x:c>
    </x:row>
    <x:row r="18" ht="31" customHeight="1">
      <x:c r="A18" s="9"/>
      <x:c r="B18" s="9"/>
      <x:c r="C18" s="9"/>
      <x:c r="D18" s="9"/>
      <x:c r="E18" s="12"/>
      <x:c r="F18" s="11"/>
      <x:c r="G18" s="9"/>
      <x:c r="H18" s="9"/>
      <x:c r="I18" s="10" t="str">
        <x:f>IF(A18="","",IF(COUNTIF('模型清单'!$B$6:$B$25,A18)=0,"模型未登记",IF(OR(B18="",C18="",D18="",E18="",F18="",G18=""),"信息不完整",IF(COUNTIFS($A$6:$A$25,A18,$B$6:$B$25,B18,$E$6:$E$25,E18)&gt;1,"顺位重复",IF(COUNTIFS($A$6:$A$25,A18,$B$6:$B$25,B18,$C$6:$C$25,C18)&gt;1,"渠道重复","待系统验证")))))</x:f>
      </x:c>
    </x:row>
    <x:row r="19" ht="31" customHeight="1">
      <x:c r="A19" s="9"/>
      <x:c r="B19" s="9"/>
      <x:c r="C19" s="9"/>
      <x:c r="D19" s="9"/>
      <x:c r="E19" s="12"/>
      <x:c r="F19" s="11"/>
      <x:c r="G19" s="9"/>
      <x:c r="H19" s="9"/>
      <x:c r="I19" s="10" t="str">
        <x:f>IF(A19="","",IF(COUNTIF('模型清单'!$B$6:$B$25,A19)=0,"模型未登记",IF(OR(B19="",C19="",D19="",E19="",F19="",G19=""),"信息不完整",IF(COUNTIFS($A$6:$A$25,A19,$B$6:$B$25,B19,$E$6:$E$25,E19)&gt;1,"顺位重复",IF(COUNTIFS($A$6:$A$25,A19,$B$6:$B$25,B19,$C$6:$C$25,C19)&gt;1,"渠道重复","待系统验证")))))</x:f>
      </x:c>
    </x:row>
    <x:row r="20" ht="31" customHeight="1">
      <x:c r="A20" s="9"/>
      <x:c r="B20" s="9"/>
      <x:c r="C20" s="9"/>
      <x:c r="D20" s="9"/>
      <x:c r="E20" s="12"/>
      <x:c r="F20" s="11"/>
      <x:c r="G20" s="9"/>
      <x:c r="H20" s="9"/>
      <x:c r="I20" s="10" t="str">
        <x:f>IF(A20="","",IF(COUNTIF('模型清单'!$B$6:$B$25,A20)=0,"模型未登记",IF(OR(B20="",C20="",D20="",E20="",F20="",G20=""),"信息不完整",IF(COUNTIFS($A$6:$A$25,A20,$B$6:$B$25,B20,$E$6:$E$25,E20)&gt;1,"顺位重复",IF(COUNTIFS($A$6:$A$25,A20,$B$6:$B$25,B20,$C$6:$C$25,C20)&gt;1,"渠道重复","待系统验证")))))</x:f>
      </x:c>
    </x:row>
    <x:row r="21" ht="31" customHeight="1">
      <x:c r="A21" s="9"/>
      <x:c r="B21" s="9"/>
      <x:c r="C21" s="9"/>
      <x:c r="D21" s="9"/>
      <x:c r="E21" s="12"/>
      <x:c r="F21" s="11"/>
      <x:c r="G21" s="9"/>
      <x:c r="H21" s="9"/>
      <x:c r="I21" s="10" t="str">
        <x:f>IF(A21="","",IF(COUNTIF('模型清单'!$B$6:$B$25,A21)=0,"模型未登记",IF(OR(B21="",C21="",D21="",E21="",F21="",G21=""),"信息不完整",IF(COUNTIFS($A$6:$A$25,A21,$B$6:$B$25,B21,$E$6:$E$25,E21)&gt;1,"顺位重复",IF(COUNTIFS($A$6:$A$25,A21,$B$6:$B$25,B21,$C$6:$C$25,C21)&gt;1,"渠道重复","待系统验证")))))</x:f>
      </x:c>
    </x:row>
    <x:row r="22" ht="31" customHeight="1">
      <x:c r="A22" s="9"/>
      <x:c r="B22" s="9"/>
      <x:c r="C22" s="9"/>
      <x:c r="D22" s="9"/>
      <x:c r="E22" s="12"/>
      <x:c r="F22" s="11"/>
      <x:c r="G22" s="9"/>
      <x:c r="H22" s="9"/>
      <x:c r="I22" s="10" t="str">
        <x:f>IF(A22="","",IF(COUNTIF('模型清单'!$B$6:$B$25,A22)=0,"模型未登记",IF(OR(B22="",C22="",D22="",E22="",F22="",G22=""),"信息不完整",IF(COUNTIFS($A$6:$A$25,A22,$B$6:$B$25,B22,$E$6:$E$25,E22)&gt;1,"顺位重复",IF(COUNTIFS($A$6:$A$25,A22,$B$6:$B$25,B22,$C$6:$C$25,C22)&gt;1,"渠道重复","待系统验证")))))</x:f>
      </x:c>
    </x:row>
    <x:row r="23" ht="31" customHeight="1">
      <x:c r="A23" s="9"/>
      <x:c r="B23" s="9"/>
      <x:c r="C23" s="9"/>
      <x:c r="D23" s="9"/>
      <x:c r="E23" s="12"/>
      <x:c r="F23" s="11"/>
      <x:c r="G23" s="9"/>
      <x:c r="H23" s="9"/>
      <x:c r="I23" s="10" t="str">
        <x:f>IF(A23="","",IF(COUNTIF('模型清单'!$B$6:$B$25,A23)=0,"模型未登记",IF(OR(B23="",C23="",D23="",E23="",F23="",G23=""),"信息不完整",IF(COUNTIFS($A$6:$A$25,A23,$B$6:$B$25,B23,$E$6:$E$25,E23)&gt;1,"顺位重复",IF(COUNTIFS($A$6:$A$25,A23,$B$6:$B$25,B23,$C$6:$C$25,C23)&gt;1,"渠道重复","待系统验证")))))</x:f>
      </x:c>
    </x:row>
    <x:row r="24" ht="31" customHeight="1">
      <x:c r="A24" s="9"/>
      <x:c r="B24" s="9"/>
      <x:c r="C24" s="9"/>
      <x:c r="D24" s="9"/>
      <x:c r="E24" s="12"/>
      <x:c r="F24" s="11"/>
      <x:c r="G24" s="9"/>
      <x:c r="H24" s="9"/>
      <x:c r="I24" s="10" t="str">
        <x:f>IF(A24="","",IF(COUNTIF('模型清单'!$B$6:$B$25,A24)=0,"模型未登记",IF(OR(B24="",C24="",D24="",E24="",F24="",G24=""),"信息不完整",IF(COUNTIFS($A$6:$A$25,A24,$B$6:$B$25,B24,$E$6:$E$25,E24)&gt;1,"顺位重复",IF(COUNTIFS($A$6:$A$25,A24,$B$6:$B$25,B24,$C$6:$C$25,C24)&gt;1,"渠道重复","待系统验证")))))</x:f>
      </x:c>
    </x:row>
    <x:row r="25" ht="31" customHeight="1">
      <x:c r="A25" s="9"/>
      <x:c r="B25" s="9"/>
      <x:c r="C25" s="9"/>
      <x:c r="D25" s="9"/>
      <x:c r="E25" s="12"/>
      <x:c r="F25" s="11"/>
      <x:c r="G25" s="9"/>
      <x:c r="H25" s="9"/>
      <x:c r="I25" s="10" t="str">
        <x:f>IF(A25="","",IF(COUNTIF('模型清单'!$B$6:$B$25,A25)=0,"模型未登记",IF(OR(B25="",C25="",D25="",E25="",F25="",G25=""),"信息不完整",IF(COUNTIFS($A$6:$A$25,A25,$B$6:$B$25,B25,$E$6:$E$25,E25)&gt;1,"顺位重复",IF(COUNTIFS($A$6:$A$25,A25,$B$6:$B$25,B25,$C$6:$C$25,C25)&gt;1,"渠道重复","待系统验证")))))</x:f>
      </x:c>
    </x:row>
  </x:sheetData>
  <x:conditionalFormatting sqref="I6:I25">
    <x:cfRule type="expression" dxfId="0" priority="1">
      <x:formula>AND($I6&lt;&gt;"",$I6&lt;&gt;"待系统验证")</x:formula>
    </x:cfRule>
  </x:conditionalFormatting>
  <x:dataValidations count="4">
    <x:dataValidation type="list" sqref="B6:B25">
      <x:formula1>"测试,生产"</x:formula1>
    </x:dataValidation>
    <x:dataValidation type="whole" operator="between" sqref="E6:E25">
      <x:formula1>1</x:formula1>
      <x:formula2>20</x:formula2>
    </x:dataValidation>
    <x:dataValidation type="list" sqref="F6:F25">
      <x:formula1>"停用,启用"</x:formula1>
    </x:dataValidation>
    <x:dataValidation type="list" sqref="G6:G25">
      <x:formula1>"尝试下一顺位,拒绝新会话"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f2606841bf49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4" hidden="0" customWidth="1"/>
    <x:col min="4" max="4" width="25" hidden="0" customWidth="1"/>
    <x:col min="5" max="5" width="28" hidden="0" customWidth="1"/>
    <x:col min="6" max="6" width="21" hidden="0" customWidth="1"/>
    <x:col min="7" max="7" width="24" hidden="0" customWidth="1"/>
    <x:col min="8" max="8" width="15" hidden="0" customWidth="1"/>
    <x:col min="9" max="9" width="19" hidden="0" customWidth="1"/>
  </x:cols>
  <x:sheetData>
    <x:row r="1">
      <x:c r="A1" s="1" t="str">
        <x:v>模型清单</x:v>
      </x:c>
    </x:row>
    <x:row r="2">
      <x:c r="A2" s="2" t="str">
        <x:v>一个对外模型名只登记一次；模型能力为目标配置，须逐渠道核验。</x:v>
      </x:c>
    </x:row>
    <x:row r="3">
      <x:c r="A3" s="3" t="str">
        <x:v>浅黄色单元格可编辑；“本地检查”仅检查表内填写，正式生效仍需系统验证与发布。</x:v>
      </x:c>
    </x:row>
    <x:row r="5" ht="31" customHeight="1">
      <x:c r="A5" s="8" t="str">
        <x:v>显示名称</x:v>
      </x:c>
      <x:c r="B5" s="8" t="str">
        <x:v>对外模型名</x:v>
      </x:c>
      <x:c r="C5" s="8" t="str">
        <x:v>提供方</x:v>
      </x:c>
      <x:c r="D5" s="8" t="str">
        <x:v>输入类型</x:v>
      </x:c>
      <x:c r="E5" s="8" t="str">
        <x:v>思考档位</x:v>
      </x:c>
      <x:c r="F5" s="8" t="str">
        <x:v>结构化输出</x:v>
      </x:c>
      <x:c r="G5" s="8" t="str">
        <x:v>目标输出上限 Token</x:v>
      </x:c>
      <x:c r="H5" s="8" t="str">
        <x:v>发布意向</x:v>
      </x:c>
      <x:c r="I5" s="8" t="str">
        <x:v>本地检查</x:v>
      </x:c>
    </x:row>
    <x:row r="6" ht="31" customHeight="1">
      <x:c r="A6" s="9" t="str">
        <x:v>Gemini 3.6 Flash</x:v>
      </x:c>
      <x:c r="B6" s="9" t="str">
        <x:v>gemini-3.6-flash</x:v>
      </x:c>
      <x:c r="C6" s="9" t="str">
        <x:v>Gemini</x:v>
      </x:c>
      <x:c r="D6" s="9" t="str">
        <x:v>文本、图片、文件</x:v>
      </x:c>
      <x:c r="E6" s="9" t="str">
        <x:v>自动、低、中、高</x:v>
      </x:c>
      <x:c r="F6" s="9" t="str">
        <x:v>原生 JSON Schema</x:v>
      </x:c>
      <x:c r="G6" s="14" t="n">
        <x:v>65536</x:v>
      </x:c>
      <x:c r="H6" s="11" t="str">
        <x:v>暂不发布</x:v>
      </x:c>
      <x:c r="I6" s="10" t="str">
        <x:f>IF(B6="","",IF(COUNTIF($B$6:$B$25,B6)&gt;1,"模型重复",IF(OR(A6="",C6="",D6="",H6=""),"信息不完整","待系统验证")))</x:f>
        <x:v>待系统验证</x:v>
      </x:c>
    </x:row>
    <x:row r="7" ht="31" customHeight="1">
      <x:c r="A7" s="9" t="str">
        <x:v>Gemini 4 Argon</x:v>
      </x:c>
      <x:c r="B7" s="9" t="str">
        <x:v>gemini-4-argon</x:v>
      </x:c>
      <x:c r="C7" s="9" t="str">
        <x:v>Gemini</x:v>
      </x:c>
      <x:c r="D7" s="9" t="str">
        <x:v>文本、图片、文件</x:v>
      </x:c>
      <x:c r="E7" s="9" t="str">
        <x:v>低、中、高</x:v>
      </x:c>
      <x:c r="F7" s="9" t="str">
        <x:v>原生 JSON Schema</x:v>
      </x:c>
      <x:c r="G7" s="14" t="n">
        <x:v>32768</x:v>
      </x:c>
      <x:c r="H7" s="11" t="str">
        <x:v>暂不发布</x:v>
      </x:c>
      <x:c r="I7" s="10" t="str">
        <x:f>IF(B7="","",IF(COUNTIF($B$6:$B$25,B7)&gt;1,"模型重复",IF(OR(A7="",C7="",D7="",H7=""),"信息不完整","待系统验证")))</x:f>
        <x:v>待系统验证</x:v>
      </x:c>
    </x:row>
    <x:row r="8" ht="31" customHeight="1">
      <x:c r="A8" s="9"/>
      <x:c r="B8" s="9"/>
      <x:c r="C8" s="9"/>
      <x:c r="D8" s="9"/>
      <x:c r="E8" s="9"/>
      <x:c r="F8" s="9"/>
      <x:c r="G8" s="14"/>
      <x:c r="H8" s="11"/>
      <x:c r="I8" s="10" t="str">
        <x:f>IF(B8="","",IF(COUNTIF($B$6:$B$25,B8)&gt;1,"模型重复",IF(OR(A8="",C8="",D8="",H8=""),"信息不完整","待系统验证")))</x:f>
      </x:c>
    </x:row>
    <x:row r="9" ht="31" customHeight="1">
      <x:c r="A9" s="9"/>
      <x:c r="B9" s="9"/>
      <x:c r="C9" s="9"/>
      <x:c r="D9" s="9"/>
      <x:c r="E9" s="9"/>
      <x:c r="F9" s="9"/>
      <x:c r="G9" s="14"/>
      <x:c r="H9" s="11"/>
      <x:c r="I9" s="10" t="str">
        <x:f>IF(B9="","",IF(COUNTIF($B$6:$B$25,B9)&gt;1,"模型重复",IF(OR(A9="",C9="",D9="",H9=""),"信息不完整","待系统验证")))</x:f>
      </x:c>
    </x:row>
    <x:row r="10" ht="31" customHeight="1">
      <x:c r="A10" s="9"/>
      <x:c r="B10" s="9"/>
      <x:c r="C10" s="9"/>
      <x:c r="D10" s="9"/>
      <x:c r="E10" s="9"/>
      <x:c r="F10" s="9"/>
      <x:c r="G10" s="14"/>
      <x:c r="H10" s="11"/>
      <x:c r="I10" s="10" t="str">
        <x:f>IF(B10="","",IF(COUNTIF($B$6:$B$25,B10)&gt;1,"模型重复",IF(OR(A10="",C10="",D10="",H10=""),"信息不完整","待系统验证")))</x:f>
      </x:c>
    </x:row>
    <x:row r="11" ht="31" customHeight="1">
      <x:c r="A11" s="9"/>
      <x:c r="B11" s="9"/>
      <x:c r="C11" s="9"/>
      <x:c r="D11" s="9"/>
      <x:c r="E11" s="9"/>
      <x:c r="F11" s="9"/>
      <x:c r="G11" s="14"/>
      <x:c r="H11" s="11"/>
      <x:c r="I11" s="10" t="str">
        <x:f>IF(B11="","",IF(COUNTIF($B$6:$B$25,B11)&gt;1,"模型重复",IF(OR(A11="",C11="",D11="",H11=""),"信息不完整","待系统验证")))</x:f>
      </x:c>
    </x:row>
    <x:row r="12" ht="31" customHeight="1">
      <x:c r="A12" s="9"/>
      <x:c r="B12" s="9"/>
      <x:c r="C12" s="9"/>
      <x:c r="D12" s="9"/>
      <x:c r="E12" s="9"/>
      <x:c r="F12" s="9"/>
      <x:c r="G12" s="14"/>
      <x:c r="H12" s="11"/>
      <x:c r="I12" s="10" t="str">
        <x:f>IF(B12="","",IF(COUNTIF($B$6:$B$25,B12)&gt;1,"模型重复",IF(OR(A12="",C12="",D12="",H12=""),"信息不完整","待系统验证")))</x:f>
      </x:c>
    </x:row>
    <x:row r="13" ht="31" customHeight="1">
      <x:c r="A13" s="9"/>
      <x:c r="B13" s="9"/>
      <x:c r="C13" s="9"/>
      <x:c r="D13" s="9"/>
      <x:c r="E13" s="9"/>
      <x:c r="F13" s="9"/>
      <x:c r="G13" s="14"/>
      <x:c r="H13" s="11"/>
      <x:c r="I13" s="10" t="str">
        <x:f>IF(B13="","",IF(COUNTIF($B$6:$B$25,B13)&gt;1,"模型重复",IF(OR(A13="",C13="",D13="",H13=""),"信息不完整","待系统验证")))</x:f>
      </x:c>
    </x:row>
    <x:row r="14" ht="31" customHeight="1">
      <x:c r="A14" s="9"/>
      <x:c r="B14" s="9"/>
      <x:c r="C14" s="9"/>
      <x:c r="D14" s="9"/>
      <x:c r="E14" s="9"/>
      <x:c r="F14" s="9"/>
      <x:c r="G14" s="14"/>
      <x:c r="H14" s="11"/>
      <x:c r="I14" s="10" t="str">
        <x:f>IF(B14="","",IF(COUNTIF($B$6:$B$25,B14)&gt;1,"模型重复",IF(OR(A14="",C14="",D14="",H14=""),"信息不完整","待系统验证")))</x:f>
      </x:c>
    </x:row>
    <x:row r="15" ht="31" customHeight="1">
      <x:c r="A15" s="9"/>
      <x:c r="B15" s="9"/>
      <x:c r="C15" s="9"/>
      <x:c r="D15" s="9"/>
      <x:c r="E15" s="9"/>
      <x:c r="F15" s="9"/>
      <x:c r="G15" s="14"/>
      <x:c r="H15" s="11"/>
      <x:c r="I15" s="10" t="str">
        <x:f>IF(B15="","",IF(COUNTIF($B$6:$B$25,B15)&gt;1,"模型重复",IF(OR(A15="",C15="",D15="",H15=""),"信息不完整","待系统验证")))</x:f>
      </x:c>
    </x:row>
    <x:row r="16" ht="31" customHeight="1">
      <x:c r="A16" s="9"/>
      <x:c r="B16" s="9"/>
      <x:c r="C16" s="9"/>
      <x:c r="D16" s="9"/>
      <x:c r="E16" s="9"/>
      <x:c r="F16" s="9"/>
      <x:c r="G16" s="14"/>
      <x:c r="H16" s="11"/>
      <x:c r="I16" s="10" t="str">
        <x:f>IF(B16="","",IF(COUNTIF($B$6:$B$25,B16)&gt;1,"模型重复",IF(OR(A16="",C16="",D16="",H16=""),"信息不完整","待系统验证")))</x:f>
      </x:c>
    </x:row>
    <x:row r="17" ht="31" customHeight="1">
      <x:c r="A17" s="9"/>
      <x:c r="B17" s="9"/>
      <x:c r="C17" s="9"/>
      <x:c r="D17" s="9"/>
      <x:c r="E17" s="9"/>
      <x:c r="F17" s="9"/>
      <x:c r="G17" s="14"/>
      <x:c r="H17" s="11"/>
      <x:c r="I17" s="10" t="str">
        <x:f>IF(B17="","",IF(COUNTIF($B$6:$B$25,B17)&gt;1,"模型重复",IF(OR(A17="",C17="",D17="",H17=""),"信息不完整","待系统验证")))</x:f>
      </x:c>
    </x:row>
    <x:row r="18" ht="31" customHeight="1">
      <x:c r="A18" s="9"/>
      <x:c r="B18" s="9"/>
      <x:c r="C18" s="9"/>
      <x:c r="D18" s="9"/>
      <x:c r="E18" s="9"/>
      <x:c r="F18" s="9"/>
      <x:c r="G18" s="14"/>
      <x:c r="H18" s="11"/>
      <x:c r="I18" s="10" t="str">
        <x:f>IF(B18="","",IF(COUNTIF($B$6:$B$25,B18)&gt;1,"模型重复",IF(OR(A18="",C18="",D18="",H18=""),"信息不完整","待系统验证")))</x:f>
      </x:c>
    </x:row>
    <x:row r="19" ht="31" customHeight="1">
      <x:c r="A19" s="9"/>
      <x:c r="B19" s="9"/>
      <x:c r="C19" s="9"/>
      <x:c r="D19" s="9"/>
      <x:c r="E19" s="9"/>
      <x:c r="F19" s="9"/>
      <x:c r="G19" s="14"/>
      <x:c r="H19" s="11"/>
      <x:c r="I19" s="10" t="str">
        <x:f>IF(B19="","",IF(COUNTIF($B$6:$B$25,B19)&gt;1,"模型重复",IF(OR(A19="",C19="",D19="",H19=""),"信息不完整","待系统验证")))</x:f>
      </x:c>
    </x:row>
    <x:row r="20" ht="31" customHeight="1">
      <x:c r="A20" s="9"/>
      <x:c r="B20" s="9"/>
      <x:c r="C20" s="9"/>
      <x:c r="D20" s="9"/>
      <x:c r="E20" s="9"/>
      <x:c r="F20" s="9"/>
      <x:c r="G20" s="14"/>
      <x:c r="H20" s="11"/>
      <x:c r="I20" s="10" t="str">
        <x:f>IF(B20="","",IF(COUNTIF($B$6:$B$25,B20)&gt;1,"模型重复",IF(OR(A20="",C20="",D20="",H20=""),"信息不完整","待系统验证")))</x:f>
      </x:c>
    </x:row>
    <x:row r="21" ht="31" customHeight="1">
      <x:c r="A21" s="9"/>
      <x:c r="B21" s="9"/>
      <x:c r="C21" s="9"/>
      <x:c r="D21" s="9"/>
      <x:c r="E21" s="9"/>
      <x:c r="F21" s="9"/>
      <x:c r="G21" s="14"/>
      <x:c r="H21" s="11"/>
      <x:c r="I21" s="10" t="str">
        <x:f>IF(B21="","",IF(COUNTIF($B$6:$B$25,B21)&gt;1,"模型重复",IF(OR(A21="",C21="",D21="",H21=""),"信息不完整","待系统验证")))</x:f>
      </x:c>
    </x:row>
    <x:row r="22" ht="31" customHeight="1">
      <x:c r="A22" s="9"/>
      <x:c r="B22" s="9"/>
      <x:c r="C22" s="9"/>
      <x:c r="D22" s="9"/>
      <x:c r="E22" s="9"/>
      <x:c r="F22" s="9"/>
      <x:c r="G22" s="14"/>
      <x:c r="H22" s="11"/>
      <x:c r="I22" s="10" t="str">
        <x:f>IF(B22="","",IF(COUNTIF($B$6:$B$25,B22)&gt;1,"模型重复",IF(OR(A22="",C22="",D22="",H22=""),"信息不完整","待系统验证")))</x:f>
      </x:c>
    </x:row>
    <x:row r="23" ht="31" customHeight="1">
      <x:c r="A23" s="9"/>
      <x:c r="B23" s="9"/>
      <x:c r="C23" s="9"/>
      <x:c r="D23" s="9"/>
      <x:c r="E23" s="9"/>
      <x:c r="F23" s="9"/>
      <x:c r="G23" s="14"/>
      <x:c r="H23" s="11"/>
      <x:c r="I23" s="10" t="str">
        <x:f>IF(B23="","",IF(COUNTIF($B$6:$B$25,B23)&gt;1,"模型重复",IF(OR(A23="",C23="",D23="",H23=""),"信息不完整","待系统验证")))</x:f>
      </x:c>
    </x:row>
    <x:row r="24" ht="31" customHeight="1">
      <x:c r="A24" s="9"/>
      <x:c r="B24" s="9"/>
      <x:c r="C24" s="9"/>
      <x:c r="D24" s="9"/>
      <x:c r="E24" s="9"/>
      <x:c r="F24" s="9"/>
      <x:c r="G24" s="14"/>
      <x:c r="H24" s="11"/>
      <x:c r="I24" s="10" t="str">
        <x:f>IF(B24="","",IF(COUNTIF($B$6:$B$25,B24)&gt;1,"模型重复",IF(OR(A24="",C24="",D24="",H24=""),"信息不完整","待系统验证")))</x:f>
      </x:c>
    </x:row>
    <x:row r="25" ht="31" customHeight="1">
      <x:c r="A25" s="9"/>
      <x:c r="B25" s="9"/>
      <x:c r="C25" s="9"/>
      <x:c r="D25" s="9"/>
      <x:c r="E25" s="9"/>
      <x:c r="F25" s="9"/>
      <x:c r="G25" s="14"/>
      <x:c r="H25" s="11"/>
      <x:c r="I25" s="10" t="str">
        <x:f>IF(B25="","",IF(COUNTIF($B$6:$B$25,B25)&gt;1,"模型重复",IF(OR(A25="",C25="",D25="",H25=""),"信息不完整","待系统验证")))</x:f>
      </x:c>
    </x:row>
  </x:sheetData>
  <x:conditionalFormatting sqref="I6:I25">
    <x:cfRule type="expression" dxfId="1" priority="1">
      <x:formula>AND($I6&lt;&gt;"",$I6&lt;&gt;"待系统验证")</x:formula>
    </x:cfRule>
  </x:conditionalFormatting>
  <x:dataValidations count="1">
    <x:dataValidation type="list" sqref="H6:H25">
      <x:formula1>"暂不发布,申请发布,暂停"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c5afaeb9047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7" hidden="0" customWidth="1"/>
    <x:col min="4" max="4" width="15" hidden="0" customWidth="1"/>
    <x:col min="5" max="5" width="15" hidden="0" customWidth="1"/>
    <x:col min="6" max="6" width="20" hidden="0" customWidth="1"/>
    <x:col min="7" max="7" width="21" hidden="0" customWidth="1"/>
    <x:col min="8" max="8" width="22" hidden="0" customWidth="1"/>
    <x:col min="9" max="9" width="14" hidden="0" customWidth="1"/>
    <x:col min="10" max="10" width="40" hidden="0" customWidth="1"/>
    <x:col min="11" max="11" width="19" hidden="0" customWidth="1"/>
  </x:cols>
  <x:sheetData>
    <x:row r="1">
      <x:c r="A1" s="1" t="str">
        <x:v>缓存设置</x:v>
      </x:c>
    </x:row>
    <x:row r="2">
      <x:c r="A2" s="2" t="str">
        <x:v>同一模型在不同渠道分别配置缓存；示例值不是渠道验证结果。</x:v>
      </x:c>
    </x:row>
    <x:row r="3">
      <x:c r="A3" s="3" t="str">
        <x:v>浅黄色为可编辑项。4096 Token 是上游参考门槛，不代表 AIHubMix 已验证或当前系统已支持。</x:v>
      </x:c>
    </x:row>
    <x:row r="5" ht="31" customHeight="1">
      <x:c r="A5" s="8" t="str">
        <x:v>对外模型名</x:v>
      </x:c>
      <x:c r="B5" s="8" t="str">
        <x:v>渠道名称</x:v>
      </x:c>
      <x:c r="C5" s="8" t="str">
        <x:v>缓存机制</x:v>
      </x:c>
      <x:c r="D5" s="8" t="str">
        <x:v>默认策略</x:v>
      </x:c>
      <x:c r="E5" s="8" t="str">
        <x:v>可选强制</x:v>
      </x:c>
      <x:c r="F5" s="8" t="str">
        <x:v>计划门槛 Token</x:v>
      </x:c>
      <x:c r="G5" s="8" t="str">
        <x:v>资源有效期 分钟</x:v>
      </x:c>
      <x:c r="H5" s="8" t="str">
        <x:v>自动准备失败时</x:v>
      </x:c>
      <x:c r="I5" s="8" t="str">
        <x:v>启用意向</x:v>
      </x:c>
      <x:c r="J5" s="8" t="str">
        <x:v>说明</x:v>
      </x:c>
      <x:c r="K5" s="8" t="str">
        <x:v>本地检查</x:v>
      </x:c>
    </x:row>
    <x:row r="6" ht="31" customHeight="1">
      <x:c r="A6" s="9" t="str">
        <x:v>gemini-3.6-flash</x:v>
      </x:c>
      <x:c r="B6" s="9" t="str">
        <x:v>AIHubMix Gemini</x:v>
      </x:c>
      <x:c r="C6" s="9" t="str">
        <x:v>显式资源</x:v>
      </x:c>
      <x:c r="D6" s="11" t="str">
        <x:v>自动</x:v>
      </x:c>
      <x:c r="E6" s="11" t="str">
        <x:v>否</x:v>
      </x:c>
      <x:c r="F6" s="11"/>
      <x:c r="G6" s="12"/>
      <x:c r="H6" s="11" t="str">
        <x:v>原文无缓存继续</x:v>
      </x:c>
      <x:c r="I6" s="11" t="str">
        <x:v>停用</x:v>
      </x:c>
      <x:c r="J6" s="9" t="str">
        <x:v>创建门槛、复用及用量须按此渠道实测</x:v>
      </x:c>
      <x:c r="K6" s="10" t="str">
        <x:f>IF(A6="","",IF(COUNTIFS('渠道优先级'!$A$6:$A$25,A6,'渠道优先级'!$C$6:$C$25,B6)=0,"渠道未登记",IF(OR(C6="",D6="",E6="",H6="",I6=""),"信息不完整",IF(COUNTIFS($A$6:$A$25,A6,$B$6:$B$25,B6)&gt;1,"缓存配置重复",IF(AND(C6="隐式前缀",G6&lt;&gt;""),"隐式缓存无需有效期",IF(AND(D6="强制",E6="否"),"强制选项冲突","待系统验证"))))))</x:f>
        <x:v>待系统验证</x:v>
      </x:c>
    </x:row>
    <x:row r="7" ht="31" customHeight="1">
      <x:c r="A7" s="9" t="str">
        <x:v>gemini-3.6-flash</x:v>
      </x:c>
      <x:c r="B7" s="9" t="str">
        <x:v>Google 官方（规划）</x:v>
      </x:c>
      <x:c r="C7" s="9" t="str">
        <x:v>显式资源</x:v>
      </x:c>
      <x:c r="D7" s="11" t="str">
        <x:v>自动</x:v>
      </x:c>
      <x:c r="E7" s="11" t="str">
        <x:v>否</x:v>
      </x:c>
      <x:c r="F7" s="11"/>
      <x:c r="G7" s="12"/>
      <x:c r="H7" s="11" t="str">
        <x:v>原文无缓存继续</x:v>
      </x:c>
      <x:c r="I7" s="11" t="str">
        <x:v>停用</x:v>
      </x:c>
      <x:c r="J7" s="9" t="str">
        <x:v>备用渠道示例；后端尚未接入</x:v>
      </x:c>
      <x:c r="K7" s="10" t="str">
        <x:f>IF(A7="","",IF(COUNTIFS('渠道优先级'!$A$6:$A$25,A7,'渠道优先级'!$C$6:$C$25,B7)=0,"渠道未登记",IF(OR(C7="",D7="",E7="",H7="",I7=""),"信息不完整",IF(COUNTIFS($A$6:$A$25,A7,$B$6:$B$25,B7)&gt;1,"缓存配置重复",IF(AND(C7="隐式前缀",G7&lt;&gt;""),"隐式缓存无需有效期",IF(AND(D7="强制",E7="否"),"强制选项冲突","待系统验证"))))))</x:f>
        <x:v>待系统验证</x:v>
      </x:c>
    </x:row>
    <x:row r="8" ht="31" customHeight="1">
      <x:c r="A8" s="9" t="str">
        <x:v>gemini-4-argon</x:v>
      </x:c>
      <x:c r="B8" s="9" t="str">
        <x:v>AIHubMix Gemini</x:v>
      </x:c>
      <x:c r="C8" s="9" t="str">
        <x:v>隐式前缀</x:v>
      </x:c>
      <x:c r="D8" s="11" t="str">
        <x:v>自动</x:v>
      </x:c>
      <x:c r="E8" s="11" t="str">
        <x:v>否</x:v>
      </x:c>
      <x:c r="F8" s="11" t="n">
        <x:v>4096</x:v>
      </x:c>
      <x:c r="G8" s="12"/>
      <x:c r="H8" s="11" t="str">
        <x:v>不适用</x:v>
      </x:c>
      <x:c r="I8" s="11" t="str">
        <x:v>停用</x:v>
      </x:c>
      <x:c r="J8" s="9" t="str">
        <x:v>4096 为上游参考值；渠道与投影待验证</x:v>
      </x:c>
      <x:c r="K8" s="10" t="str">
        <x:f>IF(A8="","",IF(COUNTIFS('渠道优先级'!$A$6:$A$25,A8,'渠道优先级'!$C$6:$C$25,B8)=0,"渠道未登记",IF(OR(C8="",D8="",E8="",H8="",I8=""),"信息不完整",IF(COUNTIFS($A$6:$A$25,A8,$B$6:$B$25,B8)&gt;1,"缓存配置重复",IF(AND(C8="隐式前缀",G8&lt;&gt;""),"隐式缓存无需有效期",IF(AND(D8="强制",E8="否"),"强制选项冲突","待系统验证"))))))</x:f>
        <x:v>待系统验证</x:v>
      </x:c>
    </x:row>
    <x:row r="9" ht="31" customHeight="1">
      <x:c r="A9" s="9" t="str">
        <x:v>gemini-4-argon</x:v>
      </x:c>
      <x:c r="B9" s="9" t="str">
        <x:v>Google 官方（规划）</x:v>
      </x:c>
      <x:c r="C9" s="9" t="str">
        <x:v>隐式前缀</x:v>
      </x:c>
      <x:c r="D9" s="11" t="str">
        <x:v>自动</x:v>
      </x:c>
      <x:c r="E9" s="11" t="str">
        <x:v>否</x:v>
      </x:c>
      <x:c r="F9" s="11" t="n">
        <x:v>4096</x:v>
      </x:c>
      <x:c r="G9" s="12"/>
      <x:c r="H9" s="11" t="str">
        <x:v>不适用</x:v>
      </x:c>
      <x:c r="I9" s="11" t="str">
        <x:v>停用</x:v>
      </x:c>
      <x:c r="J9" s="9" t="str">
        <x:v>备用渠道示例；后端尚未接入</x:v>
      </x:c>
      <x:c r="K9" s="10" t="str">
        <x:f>IF(A9="","",IF(COUNTIFS('渠道优先级'!$A$6:$A$25,A9,'渠道优先级'!$C$6:$C$25,B9)=0,"渠道未登记",IF(OR(C9="",D9="",E9="",H9="",I9=""),"信息不完整",IF(COUNTIFS($A$6:$A$25,A9,$B$6:$B$25,B9)&gt;1,"缓存配置重复",IF(AND(C9="隐式前缀",G9&lt;&gt;""),"隐式缓存无需有效期",IF(AND(D9="强制",E9="否"),"强制选项冲突","待系统验证"))))))</x:f>
        <x:v>待系统验证</x:v>
      </x:c>
    </x:row>
    <x:row r="10" ht="31" customHeight="1">
      <x:c r="A10" s="9"/>
      <x:c r="B10" s="9"/>
      <x:c r="C10" s="9"/>
      <x:c r="D10" s="11"/>
      <x:c r="E10" s="11"/>
      <x:c r="F10" s="11"/>
      <x:c r="G10" s="12"/>
      <x:c r="H10" s="11"/>
      <x:c r="I10" s="11"/>
      <x:c r="J10" s="9"/>
      <x:c r="K10" s="10" t="str">
        <x:f>IF(A10="","",IF(COUNTIFS('渠道优先级'!$A$6:$A$25,A10,'渠道优先级'!$C$6:$C$25,B10)=0,"渠道未登记",IF(OR(C10="",D10="",E10="",H10="",I10=""),"信息不完整",IF(COUNTIFS($A$6:$A$25,A10,$B$6:$B$25,B10)&gt;1,"缓存配置重复",IF(AND(C10="隐式前缀",G10&lt;&gt;""),"隐式缓存无需有效期",IF(AND(D10="强制",E10="否"),"强制选项冲突","待系统验证"))))))</x:f>
      </x:c>
    </x:row>
    <x:row r="11" ht="31" customHeight="1">
      <x:c r="A11" s="9"/>
      <x:c r="B11" s="9"/>
      <x:c r="C11" s="9"/>
      <x:c r="D11" s="11"/>
      <x:c r="E11" s="11"/>
      <x:c r="F11" s="11"/>
      <x:c r="G11" s="12"/>
      <x:c r="H11" s="11"/>
      <x:c r="I11" s="11"/>
      <x:c r="J11" s="9"/>
      <x:c r="K11" s="10" t="str">
        <x:f>IF(A11="","",IF(COUNTIFS('渠道优先级'!$A$6:$A$25,A11,'渠道优先级'!$C$6:$C$25,B11)=0,"渠道未登记",IF(OR(C11="",D11="",E11="",H11="",I11=""),"信息不完整",IF(COUNTIFS($A$6:$A$25,A11,$B$6:$B$25,B11)&gt;1,"缓存配置重复",IF(AND(C11="隐式前缀",G11&lt;&gt;""),"隐式缓存无需有效期",IF(AND(D11="强制",E11="否"),"强制选项冲突","待系统验证"))))))</x:f>
      </x:c>
    </x:row>
    <x:row r="12" ht="31" customHeight="1">
      <x:c r="A12" s="9"/>
      <x:c r="B12" s="9"/>
      <x:c r="C12" s="9"/>
      <x:c r="D12" s="11"/>
      <x:c r="E12" s="11"/>
      <x:c r="F12" s="11"/>
      <x:c r="G12" s="12"/>
      <x:c r="H12" s="11"/>
      <x:c r="I12" s="11"/>
      <x:c r="J12" s="9"/>
      <x:c r="K12" s="10" t="str">
        <x:f>IF(A12="","",IF(COUNTIFS('渠道优先级'!$A$6:$A$25,A12,'渠道优先级'!$C$6:$C$25,B12)=0,"渠道未登记",IF(OR(C12="",D12="",E12="",H12="",I12=""),"信息不完整",IF(COUNTIFS($A$6:$A$25,A12,$B$6:$B$25,B12)&gt;1,"缓存配置重复",IF(AND(C12="隐式前缀",G12&lt;&gt;""),"隐式缓存无需有效期",IF(AND(D12="强制",E12="否"),"强制选项冲突","待系统验证"))))))</x:f>
      </x:c>
    </x:row>
    <x:row r="13" ht="31" customHeight="1">
      <x:c r="A13" s="9"/>
      <x:c r="B13" s="9"/>
      <x:c r="C13" s="9"/>
      <x:c r="D13" s="11"/>
      <x:c r="E13" s="11"/>
      <x:c r="F13" s="11"/>
      <x:c r="G13" s="12"/>
      <x:c r="H13" s="11"/>
      <x:c r="I13" s="11"/>
      <x:c r="J13" s="9"/>
      <x:c r="K13" s="10" t="str">
        <x:f>IF(A13="","",IF(COUNTIFS('渠道优先级'!$A$6:$A$25,A13,'渠道优先级'!$C$6:$C$25,B13)=0,"渠道未登记",IF(OR(C13="",D13="",E13="",H13="",I13=""),"信息不完整",IF(COUNTIFS($A$6:$A$25,A13,$B$6:$B$25,B13)&gt;1,"缓存配置重复",IF(AND(C13="隐式前缀",G13&lt;&gt;""),"隐式缓存无需有效期",IF(AND(D13="强制",E13="否"),"强制选项冲突","待系统验证"))))))</x:f>
      </x:c>
    </x:row>
    <x:row r="14" ht="31" customHeight="1">
      <x:c r="A14" s="9"/>
      <x:c r="B14" s="9"/>
      <x:c r="C14" s="9"/>
      <x:c r="D14" s="11"/>
      <x:c r="E14" s="11"/>
      <x:c r="F14" s="11"/>
      <x:c r="G14" s="12"/>
      <x:c r="H14" s="11"/>
      <x:c r="I14" s="11"/>
      <x:c r="J14" s="9"/>
      <x:c r="K14" s="10" t="str">
        <x:f>IF(A14="","",IF(COUNTIFS('渠道优先级'!$A$6:$A$25,A14,'渠道优先级'!$C$6:$C$25,B14)=0,"渠道未登记",IF(OR(C14="",D14="",E14="",H14="",I14=""),"信息不完整",IF(COUNTIFS($A$6:$A$25,A14,$B$6:$B$25,B14)&gt;1,"缓存配置重复",IF(AND(C14="隐式前缀",G14&lt;&gt;""),"隐式缓存无需有效期",IF(AND(D14="强制",E14="否"),"强制选项冲突","待系统验证"))))))</x:f>
      </x:c>
    </x:row>
    <x:row r="15" ht="31" customHeight="1">
      <x:c r="A15" s="9"/>
      <x:c r="B15" s="9"/>
      <x:c r="C15" s="9"/>
      <x:c r="D15" s="11"/>
      <x:c r="E15" s="11"/>
      <x:c r="F15" s="11"/>
      <x:c r="G15" s="12"/>
      <x:c r="H15" s="11"/>
      <x:c r="I15" s="11"/>
      <x:c r="J15" s="9"/>
      <x:c r="K15" s="10" t="str">
        <x:f>IF(A15="","",IF(COUNTIFS('渠道优先级'!$A$6:$A$25,A15,'渠道优先级'!$C$6:$C$25,B15)=0,"渠道未登记",IF(OR(C15="",D15="",E15="",H15="",I15=""),"信息不完整",IF(COUNTIFS($A$6:$A$25,A15,$B$6:$B$25,B15)&gt;1,"缓存配置重复",IF(AND(C15="隐式前缀",G15&lt;&gt;""),"隐式缓存无需有效期",IF(AND(D15="强制",E15="否"),"强制选项冲突","待系统验证"))))))</x:f>
      </x:c>
    </x:row>
    <x:row r="16" ht="31" customHeight="1">
      <x:c r="A16" s="9"/>
      <x:c r="B16" s="9"/>
      <x:c r="C16" s="9"/>
      <x:c r="D16" s="11"/>
      <x:c r="E16" s="11"/>
      <x:c r="F16" s="11"/>
      <x:c r="G16" s="12"/>
      <x:c r="H16" s="11"/>
      <x:c r="I16" s="11"/>
      <x:c r="J16" s="9"/>
      <x:c r="K16" s="10" t="str">
        <x:f>IF(A16="","",IF(COUNTIFS('渠道优先级'!$A$6:$A$25,A16,'渠道优先级'!$C$6:$C$25,B16)=0,"渠道未登记",IF(OR(C16="",D16="",E16="",H16="",I16=""),"信息不完整",IF(COUNTIFS($A$6:$A$25,A16,$B$6:$B$25,B16)&gt;1,"缓存配置重复",IF(AND(C16="隐式前缀",G16&lt;&gt;""),"隐式缓存无需有效期",IF(AND(D16="强制",E16="否"),"强制选项冲突","待系统验证"))))))</x:f>
      </x:c>
    </x:row>
    <x:row r="17" ht="31" customHeight="1">
      <x:c r="A17" s="9"/>
      <x:c r="B17" s="9"/>
      <x:c r="C17" s="9"/>
      <x:c r="D17" s="11"/>
      <x:c r="E17" s="11"/>
      <x:c r="F17" s="11"/>
      <x:c r="G17" s="12"/>
      <x:c r="H17" s="11"/>
      <x:c r="I17" s="11"/>
      <x:c r="J17" s="9"/>
      <x:c r="K17" s="10" t="str">
        <x:f>IF(A17="","",IF(COUNTIFS('渠道优先级'!$A$6:$A$25,A17,'渠道优先级'!$C$6:$C$25,B17)=0,"渠道未登记",IF(OR(C17="",D17="",E17="",H17="",I17=""),"信息不完整",IF(COUNTIFS($A$6:$A$25,A17,$B$6:$B$25,B17)&gt;1,"缓存配置重复",IF(AND(C17="隐式前缀",G17&lt;&gt;""),"隐式缓存无需有效期",IF(AND(D17="强制",E17="否"),"强制选项冲突","待系统验证"))))))</x:f>
      </x:c>
    </x:row>
    <x:row r="18" ht="31" customHeight="1">
      <x:c r="A18" s="9"/>
      <x:c r="B18" s="9"/>
      <x:c r="C18" s="9"/>
      <x:c r="D18" s="11"/>
      <x:c r="E18" s="11"/>
      <x:c r="F18" s="11"/>
      <x:c r="G18" s="12"/>
      <x:c r="H18" s="11"/>
      <x:c r="I18" s="11"/>
      <x:c r="J18" s="9"/>
      <x:c r="K18" s="10" t="str">
        <x:f>IF(A18="","",IF(COUNTIFS('渠道优先级'!$A$6:$A$25,A18,'渠道优先级'!$C$6:$C$25,B18)=0,"渠道未登记",IF(OR(C18="",D18="",E18="",H18="",I18=""),"信息不完整",IF(COUNTIFS($A$6:$A$25,A18,$B$6:$B$25,B18)&gt;1,"缓存配置重复",IF(AND(C18="隐式前缀",G18&lt;&gt;""),"隐式缓存无需有效期",IF(AND(D18="强制",E18="否"),"强制选项冲突","待系统验证"))))))</x:f>
      </x:c>
    </x:row>
    <x:row r="19" ht="31" customHeight="1">
      <x:c r="A19" s="9"/>
      <x:c r="B19" s="9"/>
      <x:c r="C19" s="9"/>
      <x:c r="D19" s="11"/>
      <x:c r="E19" s="11"/>
      <x:c r="F19" s="11"/>
      <x:c r="G19" s="12"/>
      <x:c r="H19" s="11"/>
      <x:c r="I19" s="11"/>
      <x:c r="J19" s="9"/>
      <x:c r="K19" s="10" t="str">
        <x:f>IF(A19="","",IF(COUNTIFS('渠道优先级'!$A$6:$A$25,A19,'渠道优先级'!$C$6:$C$25,B19)=0,"渠道未登记",IF(OR(C19="",D19="",E19="",H19="",I19=""),"信息不完整",IF(COUNTIFS($A$6:$A$25,A19,$B$6:$B$25,B19)&gt;1,"缓存配置重复",IF(AND(C19="隐式前缀",G19&lt;&gt;""),"隐式缓存无需有效期",IF(AND(D19="强制",E19="否"),"强制选项冲突","待系统验证"))))))</x:f>
      </x:c>
    </x:row>
    <x:row r="20" ht="31" customHeight="1">
      <x:c r="A20" s="9"/>
      <x:c r="B20" s="9"/>
      <x:c r="C20" s="9"/>
      <x:c r="D20" s="11"/>
      <x:c r="E20" s="11"/>
      <x:c r="F20" s="11"/>
      <x:c r="G20" s="12"/>
      <x:c r="H20" s="11"/>
      <x:c r="I20" s="11"/>
      <x:c r="J20" s="9"/>
      <x:c r="K20" s="10" t="str">
        <x:f>IF(A20="","",IF(COUNTIFS('渠道优先级'!$A$6:$A$25,A20,'渠道优先级'!$C$6:$C$25,B20)=0,"渠道未登记",IF(OR(C20="",D20="",E20="",H20="",I20=""),"信息不完整",IF(COUNTIFS($A$6:$A$25,A20,$B$6:$B$25,B20)&gt;1,"缓存配置重复",IF(AND(C20="隐式前缀",G20&lt;&gt;""),"隐式缓存无需有效期",IF(AND(D20="强制",E20="否"),"强制选项冲突","待系统验证"))))))</x:f>
      </x:c>
    </x:row>
    <x:row r="21" ht="31" customHeight="1">
      <x:c r="A21" s="9"/>
      <x:c r="B21" s="9"/>
      <x:c r="C21" s="9"/>
      <x:c r="D21" s="11"/>
      <x:c r="E21" s="11"/>
      <x:c r="F21" s="11"/>
      <x:c r="G21" s="12"/>
      <x:c r="H21" s="11"/>
      <x:c r="I21" s="11"/>
      <x:c r="J21" s="9"/>
      <x:c r="K21" s="10" t="str">
        <x:f>IF(A21="","",IF(COUNTIFS('渠道优先级'!$A$6:$A$25,A21,'渠道优先级'!$C$6:$C$25,B21)=0,"渠道未登记",IF(OR(C21="",D21="",E21="",H21="",I21=""),"信息不完整",IF(COUNTIFS($A$6:$A$25,A21,$B$6:$B$25,B21)&gt;1,"缓存配置重复",IF(AND(C21="隐式前缀",G21&lt;&gt;""),"隐式缓存无需有效期",IF(AND(D21="强制",E21="否"),"强制选项冲突","待系统验证"))))))</x:f>
      </x:c>
    </x:row>
    <x:row r="22" ht="31" customHeight="1">
      <x:c r="A22" s="9"/>
      <x:c r="B22" s="9"/>
      <x:c r="C22" s="9"/>
      <x:c r="D22" s="11"/>
      <x:c r="E22" s="11"/>
      <x:c r="F22" s="11"/>
      <x:c r="G22" s="12"/>
      <x:c r="H22" s="11"/>
      <x:c r="I22" s="11"/>
      <x:c r="J22" s="9"/>
      <x:c r="K22" s="10" t="str">
        <x:f>IF(A22="","",IF(COUNTIFS('渠道优先级'!$A$6:$A$25,A22,'渠道优先级'!$C$6:$C$25,B22)=0,"渠道未登记",IF(OR(C22="",D22="",E22="",H22="",I22=""),"信息不完整",IF(COUNTIFS($A$6:$A$25,A22,$B$6:$B$25,B22)&gt;1,"缓存配置重复",IF(AND(C22="隐式前缀",G22&lt;&gt;""),"隐式缓存无需有效期",IF(AND(D22="强制",E22="否"),"强制选项冲突","待系统验证"))))))</x:f>
      </x:c>
    </x:row>
    <x:row r="23" ht="31" customHeight="1">
      <x:c r="A23" s="9"/>
      <x:c r="B23" s="9"/>
      <x:c r="C23" s="9"/>
      <x:c r="D23" s="11"/>
      <x:c r="E23" s="11"/>
      <x:c r="F23" s="11"/>
      <x:c r="G23" s="12"/>
      <x:c r="H23" s="11"/>
      <x:c r="I23" s="11"/>
      <x:c r="J23" s="9"/>
      <x:c r="K23" s="10" t="str">
        <x:f>IF(A23="","",IF(COUNTIFS('渠道优先级'!$A$6:$A$25,A23,'渠道优先级'!$C$6:$C$25,B23)=0,"渠道未登记",IF(OR(C23="",D23="",E23="",H23="",I23=""),"信息不完整",IF(COUNTIFS($A$6:$A$25,A23,$B$6:$B$25,B23)&gt;1,"缓存配置重复",IF(AND(C23="隐式前缀",G23&lt;&gt;""),"隐式缓存无需有效期",IF(AND(D23="强制",E23="否"),"强制选项冲突","待系统验证"))))))</x:f>
      </x:c>
    </x:row>
    <x:row r="24" ht="31" customHeight="1">
      <x:c r="A24" s="9"/>
      <x:c r="B24" s="9"/>
      <x:c r="C24" s="9"/>
      <x:c r="D24" s="11"/>
      <x:c r="E24" s="11"/>
      <x:c r="F24" s="11"/>
      <x:c r="G24" s="12"/>
      <x:c r="H24" s="11"/>
      <x:c r="I24" s="11"/>
      <x:c r="J24" s="9"/>
      <x:c r="K24" s="10" t="str">
        <x:f>IF(A24="","",IF(COUNTIFS('渠道优先级'!$A$6:$A$25,A24,'渠道优先级'!$C$6:$C$25,B24)=0,"渠道未登记",IF(OR(C24="",D24="",E24="",H24="",I24=""),"信息不完整",IF(COUNTIFS($A$6:$A$25,A24,$B$6:$B$25,B24)&gt;1,"缓存配置重复",IF(AND(C24="隐式前缀",G24&lt;&gt;""),"隐式缓存无需有效期",IF(AND(D24="强制",E24="否"),"强制选项冲突","待系统验证"))))))</x:f>
      </x:c>
    </x:row>
    <x:row r="25" ht="31" customHeight="1">
      <x:c r="A25" s="9"/>
      <x:c r="B25" s="9"/>
      <x:c r="C25" s="9"/>
      <x:c r="D25" s="11"/>
      <x:c r="E25" s="11"/>
      <x:c r="F25" s="11"/>
      <x:c r="G25" s="12"/>
      <x:c r="H25" s="11"/>
      <x:c r="I25" s="11"/>
      <x:c r="J25" s="9"/>
      <x:c r="K25" s="10" t="str">
        <x:f>IF(A25="","",IF(COUNTIFS('渠道优先级'!$A$6:$A$25,A25,'渠道优先级'!$C$6:$C$25,B25)=0,"渠道未登记",IF(OR(C25="",D25="",E25="",H25="",I25=""),"信息不完整",IF(COUNTIFS($A$6:$A$25,A25,$B$6:$B$25,B25)&gt;1,"缓存配置重复",IF(AND(C25="隐式前缀",G25&lt;&gt;""),"隐式缓存无需有效期",IF(AND(D25="强制",E25="否"),"强制选项冲突","待系统验证"))))))</x:f>
      </x:c>
    </x:row>
  </x:sheetData>
  <x:conditionalFormatting sqref="K6:K25">
    <x:cfRule type="expression" dxfId="2" priority="1">
      <x:formula>AND($K6&lt;&gt;"",$K6&lt;&gt;"待系统验证")</x:formula>
    </x:cfRule>
  </x:conditionalFormatting>
  <x:dataValidations count="7">
    <x:dataValidation type="list" sqref="C6:C25">
      <x:formula1>"显式资源,隐式前缀,不使用"</x:formula1>
    </x:dataValidation>
    <x:dataValidation type="list" sqref="D6:D25">
      <x:formula1>"自动,关闭,强制"</x:formula1>
    </x:dataValidation>
    <x:dataValidation type="list" sqref="E6:E25">
      <x:formula1>"否,是"</x:formula1>
    </x:dataValidation>
    <x:dataValidation type="whole" operator="between" sqref="F6:F25">
      <x:formula1>1</x:formula1>
      <x:formula2>1000000</x:formula2>
    </x:dataValidation>
    <x:dataValidation type="whole" operator="between" sqref="G6:G25">
      <x:formula1>1</x:formula1>
      <x:formula2>10080</x:formula2>
    </x:dataValidation>
    <x:dataValidation type="list" sqref="H6:H25">
      <x:formula1>"原文无缓存继续,直接失败,不适用"</x:formula1>
    </x:dataValidation>
    <x:dataValidation type="list" sqref="I6:I25">
      <x:formula1>"停用,启用"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43380678434a45"/>
  </x:tableParts>
</x:worksheet>
</file>

<file path=xl/worksheets/sheet4.xml><?xml version="1.0" encoding="utf-8"?>
<x:worksheet xmlns:x="http://schemas.openxmlformats.org/spreadsheetml/2006/main">
  <x:sheetPr>
    <x:tabColor rgb="FF8E9DA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3" hidden="0" customWidth="1"/>
  </x:cols>
  <x:sheetData>
    <x:row r="1">
      <x:c r="A1" s="1" t="str">
        <x:v>填写说明</x:v>
      </x:c>
    </x:row>
    <x:row r="2">
      <x:c r="A2" s="2" t="str">
        <x:v>配置规则与范围</x:v>
      </x:c>
    </x:row>
    <x:row r="3">
      <x:c r="A3" s="3"/>
    </x:row>
    <x:row r="5" ht="31" customHeight="1">
      <x:c r="A5" s="8" t="str">
        <x:v>事项</x:v>
      </x:c>
      <x:c r="B5" s="8" t="str">
        <x:v>规则</x:v>
      </x:c>
    </x:row>
    <x:row r="6" ht="40" customHeight="1">
      <x:c r="A6" s="17" t="str">
        <x:v>模型</x:v>
      </x:c>
      <x:c r="B6" s="18" t="str">
        <x:v>“模型清单”中对外模型名唯一；新增模型先登记，再配渠道和缓存。</x:v>
      </x:c>
    </x:row>
    <x:row r="7" ht="40" customHeight="1">
      <x:c r="A7" s="19" t="str">
        <x:v>渠道</x:v>
      </x:c>
      <x:c r="B7" s="20" t="str">
        <x:v>“渠道优先级”每行对应一个模型、一个环境、一个渠道；渠道名称须由后端登记。</x:v>
      </x:c>
    </x:row>
    <x:row r="8" ht="40" customHeight="1">
      <x:c r="A8" s="19" t="str">
        <x:v>顺位</x:v>
      </x:c>
      <x:c r="B8" s="20" t="str">
        <x:v>同一模型、同一环境下按 1、2、3 选择；重复顺位或渠道配置拒绝发布。</x:v>
      </x:c>
    </x:row>
    <x:row r="9" ht="40" customHeight="1">
      <x:c r="A9" s="19" t="str">
        <x:v>新会话</x:v>
      </x:c>
      <x:c r="B9" s="20" t="str">
        <x:v>只在新会话建立时依次筛选启用且合格的渠道；按“不可用时”决定是否尝试下一顺位。</x:v>
      </x:c>
    </x:row>
    <x:row r="10" ht="40" customHeight="1">
      <x:c r="A10" s="19" t="str">
        <x:v>已绑定会话</x:v>
      </x:c>
      <x:c r="B10" s="20" t="str">
        <x:v>会话建立后保持原渠道与缓存上下文；运行中错误不会自动跨渠道重试。</x:v>
      </x:c>
    </x:row>
    <x:row r="11" ht="40" customHeight="1">
      <x:c r="A11" s="19" t="str">
        <x:v>缓存</x:v>
      </x:c>
      <x:c r="B11" s="20" t="str">
        <x:v>同一模型各渠道分别填写。强制缓存只在机制经渠道验证且系统已实现时允许。</x:v>
      </x:c>
    </x:row>
    <x:row r="12" ht="40" customHeight="1">
      <x:c r="A12" s="19" t="str">
        <x:v>缓存失败</x:v>
      </x:c>
      <x:c r="B12" s="20" t="str">
        <x:v>自动模式可按同一上下文无缓存继续；强制模式失败，不偷偷降级。</x:v>
      </x:c>
    </x:row>
    <x:row r="13" ht="40" customHeight="1">
      <x:c r="A13" s="19" t="str">
        <x:v>隐式缓存关闭</x:v>
      </x:c>
      <x:c r="B13" s="20" t="str">
        <x:v>“关闭”只关闭 Relay 主动缓存行为，不能关闭提供方可能自动执行的透明缓存。</x:v>
      </x:c>
    </x:row>
    <x:row r="14" ht="40" customHeight="1">
      <x:c r="A14" s="19" t="str">
        <x:v>发布</x:v>
      </x:c>
      <x:c r="B14" s="20" t="str">
        <x:v>所有示例处于停用草案。填写单元格不直接生效；系统仍须完成验证、审批与发布。</x:v>
      </x:c>
    </x:row>
    <x:row r="15" ht="40" customHeight="1">
      <x:c r="A15" s="21" t="str">
        <x:v>内部信息</x:v>
      </x:c>
      <x:c r="B15" s="22" t="str">
        <x:v>证据编号、连接编号、凭证、接口投影、哈希与版本号由后端管理，不进入用户表。</x:v>
      </x:c>
    </x:row>
    <x:row r="18">
      <x:c r="A18" s="23" t="str">
        <x:v>参考资料</x:v>
      </x:c>
    </x:row>
    <x:row r="19">
      <x:c r="A19" s="3" t="str">
        <x:v>Gemini 缓存说明</x:v>
      </x:c>
      <x:c r="B19" s="3" t="str">
        <x:v>https://ai.google.dev/gemini-api/docs/generate-content/caching</x:v>
      </x:c>
    </x:row>
    <x:row r="20">
      <x:c r="A20" s="3" t="str">
        <x:v>Gemini 4 Argon</x:v>
      </x:c>
      <x:c r="B20" s="3" t="str">
        <x:v>https://ai.google.dev/gemini-api/docs/models/gemini-4-argon</x:v>
      </x:c>
    </x:row>
  </x:sheetData>
  <x:pageMargins left="0.7" right="0.7" top="0.75" bottom="0.75" header="0.3" footer="0.3"/>
  <x:tableParts count="1">
    <x:tablePart xmlns:r="http://schemas.openxmlformats.org/officeDocument/2006/relationships" r:id="Re6693f88b036460e"/>
  </x:tableParts>
</x:worksheet>
</file>