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渠道优先级" sheetId="1" state="visible" r:id="rId1"/>
    <sheet xmlns:r="http://schemas.openxmlformats.org/officeDocument/2006/relationships" name="模型清单" sheetId="2" state="visible" r:id="rId2"/>
    <sheet xmlns:r="http://schemas.openxmlformats.org/officeDocument/2006/relationships" name="缓存设置" sheetId="3" state="visible" r:id="rId3"/>
    <sheet xmlns:r="http://schemas.openxmlformats.org/officeDocument/2006/relationships" name="填写说明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3">
    <font>
      <name val="Carlito"/>
      <sz val="11"/>
    </font>
    <font>
      <name val="Droid Sans Fallback"/>
      <b val="1"/>
      <color rgb="FF193047"/>
      <sz val="14"/>
    </font>
    <font>
      <name val="Droid Sans Fallback"/>
      <i val="1"/>
      <color rgb="FF53697C"/>
      <sz val="10"/>
    </font>
    <font>
      <name val="Droid Sans Fallback"/>
      <color rgb="FF53697C"/>
      <sz val="10"/>
    </font>
    <font>
      <name val="Droid Sans Fallback"/>
      <color rgb="FF193047"/>
      <sz val="10"/>
    </font>
    <font>
      <name val="Droid Sans Fallback"/>
      <b val="1"/>
      <color rgb="FFFFFFFF"/>
      <sz val="10"/>
    </font>
    <font>
      <name val="Droid Sans Fallback"/>
      <b val="1"/>
      <color rgb="FF193047"/>
      <sz val="10"/>
    </font>
    <font>
      <name val="Droid Sans Fallback"/>
      <b val="1"/>
      <color rgb="FF193047"/>
      <sz val="11"/>
    </font>
    <font>
      <name val="Aptos"/>
      <color rgb="000563C1"/>
      <sz val="10"/>
      <u val="single"/>
    </font>
    <font>
      <name val="Microsoft YaHei"/>
      <b val="1"/>
      <color rgb="00FFFFFF"/>
      <sz val="12"/>
    </font>
    <font>
      <name val="Microsoft YaHei"/>
      <b val="1"/>
      <color rgb="00FFFFFF"/>
      <sz val="11"/>
    </font>
    <font>
      <name val="Microsoft YaHei"/>
      <color rgb="00184E72"/>
      <sz val="10"/>
    </font>
    <font>
      <name val="Microsoft YaHei"/>
      <color rgb="00495A68"/>
      <sz val="10"/>
    </font>
  </fonts>
  <fills count="10">
    <fill>
      <patternFill/>
    </fill>
    <fill>
      <patternFill patternType="gray125"/>
    </fill>
    <fill>
      <patternFill patternType="solid">
        <fgColor rgb="FF183653"/>
      </patternFill>
    </fill>
    <fill>
      <patternFill patternType="solid">
        <fgColor rgb="FFFFF5D9"/>
      </patternFill>
    </fill>
    <fill>
      <patternFill patternType="solid">
        <fgColor rgb="FFE7F0F7"/>
      </patternFill>
    </fill>
    <fill>
      <patternFill patternType="solid">
        <fgColor rgb="001A425B"/>
      </patternFill>
    </fill>
    <fill>
      <patternFill patternType="solid">
        <fgColor rgb="0024647A"/>
      </patternFill>
    </fill>
    <fill>
      <patternFill patternType="solid">
        <fgColor rgb="00FFFFFF"/>
      </patternFill>
    </fill>
    <fill>
      <patternFill patternType="solid">
        <fgColor rgb="00F2F7F8"/>
      </patternFill>
    </fill>
    <fill>
      <patternFill patternType="solid">
        <fgColor rgb="00FFF5DF"/>
      </patternFill>
    </fill>
  </fills>
  <borders count="5">
    <border>
      <left/>
      <right/>
      <top/>
      <bottom/>
      <diagonal/>
    </border>
    <border>
      <left/>
      <right style="thin">
        <color rgb="FFD3E0EA"/>
      </right>
      <top/>
      <bottom/>
      <diagonal/>
    </border>
    <border>
      <left/>
      <right/>
      <top/>
      <bottom style="thin">
        <color rgb="FFD3E0EA"/>
      </bottom>
      <diagonal/>
    </border>
    <border>
      <left/>
      <right/>
      <top style="thin">
        <color rgb="FFD3E0EA"/>
      </top>
      <bottom style="thin">
        <color rgb="FFD3E0EA"/>
      </bottom>
      <diagonal/>
    </border>
    <border>
      <left/>
      <right/>
      <top style="thin">
        <color rgb="FFD3E0EA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5" borderId="0" applyAlignment="1" pivotButton="0" quotePrefix="0" xfId="0">
      <alignment vertical="center" indent="1"/>
    </xf>
    <xf numFmtId="0" fontId="10" fillId="6" borderId="0" applyAlignment="1" pivotButton="0" quotePrefix="0" xfId="0">
      <alignment vertical="center" wrapText="1"/>
    </xf>
    <xf numFmtId="0" fontId="11" fillId="7" borderId="0" applyAlignment="1" pivotButton="0" quotePrefix="0" xfId="0">
      <alignment vertical="center" indent="1"/>
    </xf>
    <xf numFmtId="0" fontId="12" fillId="7" borderId="0" applyAlignment="1" pivotButton="0" quotePrefix="0" xfId="0">
      <alignment vertical="center" wrapText="1" indent="1"/>
    </xf>
    <xf numFmtId="0" fontId="11" fillId="8" borderId="0" applyAlignment="1" pivotButton="0" quotePrefix="0" xfId="0">
      <alignment vertical="center" indent="1"/>
    </xf>
    <xf numFmtId="0" fontId="12" fillId="9" borderId="0" applyAlignment="1" pivotButton="0" quotePrefix="0" xfId="0">
      <alignment vertical="center" wrapText="1" indent="1"/>
    </xf>
    <xf numFmtId="0" fontId="12" fillId="8" borderId="0" applyAlignment="1" pivotButton="0" quotePrefix="0" xfId="0">
      <alignment vertical="center" wrapText="1" indent="1"/>
    </xf>
    <xf numFmtId="0" fontId="4" fillId="3" borderId="0" applyAlignment="1" pivotButton="0" quotePrefix="0" xfId="0">
      <alignment vertical="center" wrapText="1"/>
    </xf>
  </cellXfs>
  <cellStyles count="1">
    <cellStyle name="Normal" xfId="0"/>
  </cellStyles>
  <dxfs count="3">
    <dxf>
      <font>
        <b val="1"/>
        <color rgb="FFA12622"/>
      </font>
      <fill>
        <patternFill patternType="solid">
          <bgColor rgb="FFFFE0DE"/>
        </patternFill>
      </fill>
    </dxf>
    <dxf>
      <font>
        <b val="1"/>
        <color rgb="FFA12622"/>
      </font>
      <fill>
        <patternFill patternType="solid">
          <bgColor rgb="FFFFE0DE"/>
        </patternFill>
      </fill>
    </dxf>
    <dxf>
      <font>
        <b val="1"/>
        <color rgb="FFA12622"/>
      </font>
      <fill>
        <patternFill patternType="solid">
          <bgColor rgb="FFFFE0D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Relay catalog</author>
    <author>Relay Governance</author>
  </authors>
  <commentList>
    <comment ref="D10" authorId="0" shapeId="0">
      <text>
        <t>API ID 参考：https://developers.openai.com/api/docs/models/all
本行未证明该账户/区域/渠道支持本型号。</t>
      </text>
    </comment>
    <comment ref="D11" authorId="0" shapeId="0">
      <text>
        <t>API ID 参考：https://developers.openai.com/api/docs/models/all
本行未证明该账户/区域/渠道支持本型号。</t>
      </text>
    </comment>
    <comment ref="D12" authorId="0" shapeId="0">
      <text>
        <t>API ID 参考：https://developers.openai.com/api/docs/models/all
本行未证明该账户/区域/渠道支持本型号。</t>
      </text>
    </comment>
    <comment ref="D13" authorId="0" shapeId="0">
      <text>
        <t>API ID 参考：https://developers.openai.com/api/docs/models/all
本行未证明该账户/区域/渠道支持本型号。</t>
      </text>
    </comment>
    <comment ref="D14" authorId="0" shapeId="0">
      <text>
        <t>API ID 参考：https://developers.openai.com/api/docs/models/all
本行未证明该账户/区域/渠道支持本型号。</t>
      </text>
    </comment>
    <comment ref="D15" authorId="0" shapeId="0">
      <text>
        <t>API ID 参考：https://platform.claude.com/docs/en/models/overview
本行未证明该账户/区域/渠道支持本型号。</t>
      </text>
    </comment>
    <comment ref="D16" authorId="0" shapeId="0">
      <text>
        <t>API ID 参考：https://platform.claude.com/docs/en/models/overview
本行未证明该账户/区域/渠道支持本型号。</t>
      </text>
    </comment>
    <comment ref="D17" authorId="0" shapeId="0">
      <text>
        <t>API ID 参考：https://platform.claude.com/docs/en/models/overview
本行未证明该账户/区域/渠道支持本型号。</t>
      </text>
    </comment>
    <comment ref="D18" authorId="0" shapeId="0">
      <text>
        <t>API ID 参考：https://platform.claude.com/docs/en/models/overview
本行未证明该账户/区域/渠道支持本型号。</t>
      </text>
    </comment>
    <comment ref="D19" authorId="0" shapeId="0">
      <text>
        <t>API ID 参考：https://ai.google.dev/gemini-api/docs/models
本行未证明该账户/区域/渠道支持本型号。</t>
      </text>
    </comment>
    <comment ref="D20" authorId="0" shapeId="0">
      <text>
        <t>API ID 参考：https://ai.google.dev/gemini-api/docs/models
本行未证明该账户/区域/渠道支持本型号。</t>
      </text>
    </comment>
    <comment ref="D21" authorId="0" shapeId="0">
      <text>
        <t>API ID 参考：https://ai.google.dev/gemini-api/docs/models
本行未证明该账户/区域/渠道支持本型号。</t>
      </text>
    </comment>
    <comment ref="D22" authorId="0" shapeId="0">
      <text>
        <t>API ID 参考：https://www.alibabacloud.com/help/en/model-studio/text-generation-model
本行未证明该账户/区域/渠道支持本型号。</t>
      </text>
    </comment>
    <comment ref="D23" authorId="0" shapeId="0">
      <text>
        <t>API ID 参考：https://www.alibabacloud.com/help/en/model-studio/text-generation-model
本行未证明该账户/区域/渠道支持本型号。</t>
      </text>
    </comment>
    <comment ref="D24" authorId="0" shapeId="0">
      <text>
        <t>API ID 参考：https://www.alibabacloud.com/help/en/model-studio/text-generation-model
本行未证明该账户/区域/渠道支持本型号。</t>
      </text>
    </comment>
    <comment ref="D25" authorId="0" shapeId="0">
      <text>
        <t>API ID 参考：https://www.alibabacloud.com/help/en/model-studio/text-generation-model
本行未证明该账户/区域/渠道支持本型号。</t>
      </text>
    </comment>
    <comment ref="D26" authorId="0" shapeId="0">
      <text>
        <t>API ID 参考：https://www.alibabacloud.com/help/en/model-studio/text-generation-model
本行未证明该账户/区域/渠道支持本型号。</t>
      </text>
    </comment>
    <comment ref="D27" authorId="0" shapeId="0">
      <text>
        <t>API ID 参考：https://www.alibabacloud.com/help/en/model-studio/text-generation-model
本行未证明该账户/区域/渠道支持本型号。</t>
      </text>
    </comment>
    <comment ref="D28" authorId="0" shapeId="0">
      <text>
        <t>API ID 参考：https://api-docs.deepseek.com/updates/
本行未证明该账户/区域/渠道支持本型号。</t>
      </text>
    </comment>
    <comment ref="D29" authorId="0" shapeId="0">
      <text>
        <t>API ID 参考：https://api-docs.deepseek.com/updates/
本行未证明该账户/区域/渠道支持本型号。</t>
      </text>
    </comment>
    <comment ref="D30" authorId="0" shapeId="0">
      <text>
        <t>API ID 参考：https://www.alibabacloud.com/help/en/model-studio/text-generation-model
本行未证明该账户/区域/渠道支持本型号。</t>
      </text>
    </comment>
    <comment ref="D31" authorId="0" shapeId="0">
      <text>
        <t>API ID 参考：https://www.alibabacloud.com/help/en/model-studio/text-generation-model
本行未证明该账户/区域/渠道支持本型号。</t>
      </text>
    </comment>
    <comment ref="D32" authorId="0" shapeId="0">
      <text>
        <t>API ID 参考：https://docs.mistral.ai/models
本行未证明该账户/区域/渠道支持本型号。</t>
      </text>
    </comment>
    <comment ref="D33" authorId="0" shapeId="0">
      <text>
        <t>API ID 参考：https://docs.mistral.ai/models
本行未证明该账户/区域/渠道支持本型号。</t>
      </text>
    </comment>
    <comment ref="D34" authorId="0" shapeId="0">
      <text>
        <t>API ID 参考：https://platform.minimax.io/subscribe/token-plan
本行未证明该账户/区域/渠道支持本型号。</t>
      </text>
    </comment>
    <comment ref="D35" authorId="0" shapeId="0">
      <text>
        <t>API ID 参考：https://platform.minimax.io/subscribe/token-plan
本行未证明该账户/区域/渠道支持本型号。</t>
      </text>
    </comment>
    <comment ref="D36" authorId="0" shapeId="0">
      <text>
        <t>API ID 参考：https://platform.minimax.io/subscribe/token-plan
本行未证明该账户/区域/渠道支持本型号。</t>
      </text>
    </comment>
    <comment ref="D37" authorId="0" shapeId="0">
      <text>
        <t>API ID 参考：https://docs.x.ai/developers/models
本行未证明该账户/区域/渠道支持本型号。</t>
      </text>
    </comment>
    <comment ref="D38" authorId="0" shapeId="0">
      <text>
        <t>API ID 参考：https://docs.mistral.ai/models
本行未证明该账户/区域/渠道支持本型号。</t>
      </text>
    </comment>
    <comment ref="D39" authorId="0" shapeId="0">
      <text>
        <t>API ID 参考：https://docs.mistral.ai/models
本行未证明该账户/区域/渠道支持本型号。</t>
      </text>
    </comment>
    <comment ref="D40" authorId="0" shapeId="0">
      <text>
        <t>API ID 参考：https://docs.mistral.ai/models
本行未证明该账户/区域/渠道支持本型号。</t>
      </text>
    </comment>
    <comment ref="D41" authorId="0" shapeId="0">
      <text>
        <t>API ID 参考：https://docs.mistral.ai/models
本行未证明该账户/区域/渠道支持本型号。</t>
      </text>
    </comment>
    <comment ref="D42" authorId="0" shapeId="0">
      <text>
        <t>API ID 参考：https://docs.volcengine.com/docs/ark/model-list?lang=en
本行未证明该账户/区域/渠道支持本型号。</t>
      </text>
    </comment>
    <comment ref="D43" authorId="0" shapeId="0">
      <text>
        <t>API ID 参考：https://docs.volcengine.com/docs/ark/model-list?lang=en
本行未证明该账户/区域/渠道支持本型号。</t>
      </text>
    </comment>
    <comment ref="D44" authorId="0" shapeId="0">
      <text>
        <t>API ID 参考：https://docs.volcengine.com/docs/ark/model-list?lang=en
本行未证明该账户/区域/渠道支持本型号。</t>
      </text>
    </comment>
    <comment ref="D45" authorId="0" shapeId="0">
      <text>
        <t>API ID 参考：https://cloud.baidu.com/doc/qianfan-api/s/Dmba8k71y
本行未证明该账户/区域/渠道支持本型号。</t>
      </text>
    </comment>
    <comment ref="D46" authorId="0" shapeId="0">
      <text>
        <t>API ID 参考：https://cloud.baidu.com/doc/qianfan-api/s/Dmba8k71y
本行未证明该账户/区域/渠道支持本型号。</t>
      </text>
    </comment>
    <comment ref="D47" authorId="0" shapeId="0">
      <text>
        <t>API ID 参考：https://cloud.tencent.com/document/product/1729/105701
本行未证明该账户/区域/渠道支持本型号。</t>
      </text>
    </comment>
    <comment ref="D48" authorId="0" shapeId="0">
      <text>
        <t>API ID 参考：https://cloud.tencent.com/document/product/1729/105701
本行未证明该账户/区域/渠道支持本型号。</t>
      </text>
    </comment>
    <comment ref="D49" authorId="0" shapeId="0">
      <text>
        <t>API ID 参考：https://ai.meta.com/resources/models-and-libraries/llama-downloads/
本行未证明该账户/区域/渠道支持本型号。</t>
      </text>
    </comment>
    <comment ref="D50" authorId="0" shapeId="0">
      <text>
        <t>API ID 参考：https://ai.meta.com/resources/models-and-libraries/llama-downloads/
本行未证明该账户/区域/渠道支持本型号。</t>
      </text>
    </comment>
    <comment ref="D51" authorId="0" shapeId="0">
      <text>
        <t>API ID 参考：https://console.groq.com/docs/models
本行未证明该账户/区域/渠道支持本型号。</t>
      </text>
    </comment>
    <comment ref="D52" authorId="0" shapeId="0">
      <text>
        <t>API ID 参考：https://console.groq.com/docs/models
本行未证明该账户/区域/渠道支持本型号。</t>
      </text>
    </comment>
    <comment ref="D53" authorId="1" shapeId="0">
      <text>
        <t>候选渠道上游 ID，需按实际账号、端点、协议进行精确认证。
来源：https://ai.google.dev/gemini-api/docs/models
Preview 型号；需按账号、区域和渠道确认仍可调用</t>
      </text>
    </comment>
    <comment ref="D54" authorId="1" shapeId="0">
      <text>
        <t>候选渠道上游 ID，需按实际账号、端点、协议进行精确认证。
来源：https://ai.google.dev/gemini-api/docs/models
Google 官方目录未列出此带 -search 后缀的独立型号；是否绑定搜索工具须单独验收</t>
      </text>
    </comment>
    <comment ref="D55" authorId="1" shapeId="0">
      <text>
        <t>候选渠道上游 ID，需按实际账号、端点、协议进行精确认证。
来源：https://ai.google.dev/gemini-api/docs/models
Google 官方型号为 gemini-3.5-flash-lite；-free 仅按截图登记，不能推断免费额度</t>
      </text>
    </comment>
    <comment ref="D56" authorId="1" shapeId="0">
      <text>
        <t>候选渠道上游 ID，需按实际账号、端点、协议进行精确认证。
来源：https://docs.x.ai/developers/pricing
具体提供范围、协议和账号可用性待认证</t>
      </text>
    </comment>
    <comment ref="D57" authorId="1" shapeId="0">
      <text>
        <t>候选渠道上游 ID，需按实际账号、端点、协议进行精确认证。
来源：https://docs.x.ai/developers/pricing
具体提供范围、协议和账号可用性待认证</t>
      </text>
    </comment>
    <comment ref="D58" authorId="1" shapeId="0">
      <text>
        <t>候选渠道上游 ID，需按实际账号、端点、协议进行精确认证。
来源：https://huggingface.co/moonshotai/Kimi-K3
Moonshot/聚合渠道实际 API 型号和参数须逐渠道冻结</t>
      </text>
    </comment>
    <comment ref="D59" authorId="1" shapeId="0">
      <text>
        <t>候选渠道上游 ID，需按实际账号、端点、协议进行精确认证。
来源：https://huggingface.co/moonshotai/Kimi-K2.7-Code
编码模型；推理参数与可用接入协议单独验证</t>
      </text>
    </comment>
    <comment ref="D60" authorId="1" shapeId="0">
      <text>
        <t>候选渠道上游 ID，需按实际账号、端点、协议进行精确认证。
来源：https://platform.claude.com/docs/en/models/overview
不是 Claude Sonnet 5.5；两者作为独立型号冻结</t>
      </text>
    </comment>
    <comment ref="D61" authorId="1" shapeId="0">
      <text>
        <t>候选渠道上游 ID，需按实际账号、端点、协议进行精确认证。
来源：https://zcode.z.ai/cn/docs/configuration
不等于 Z.AI 官方 glm-5.3；免费/限流/代码接口需渠道认证</t>
      </text>
    </comment>
    <comment ref="D62" authorId="1" shapeId="0">
      <text>
        <t>候选渠道上游 ID，需按实际账号、端点、协议进行精确认证。
来源：https://mimo.mi.com/docs/en-US/quick-start/model
小米官方 ID 为 mimo-v2.6-pro；-free 是独立聚合渠道路由声明</t>
      </text>
    </comment>
    <comment ref="D63" authorId="1" shapeId="0">
      <text>
        <t>候选渠道上游 ID，需按实际账号、端点、协议进行精确认证。
来源：https://developers.openai.com/api/docs/models/all
不能用 gpt-6-sol 的旧档位或协议兼容假设代替新版认证</t>
      </text>
    </comment>
    <comment ref="D64" authorId="1" shapeId="0">
      <text>
        <t>候选渠道上游 ID，需按实际账号、端点、协议进行精确认证。
来源：https://platform.claude.com/docs/en/models/overview
与 claude-opus-5-5 分开管理，不自动合并</t>
      </text>
    </comment>
    <comment ref="D65" authorId="1" shapeId="0">
      <text>
        <t>候选渠道上游 ID，需按实际账号、端点、协议进行精确认证。
来源：https://mimo.mi.com/docs/en-US/quick-start/model
官方直连与 xiaomi-mimo-v2.6-pro-free 不能共用供应身份</t>
      </text>
    </comment>
    <comment ref="D66" authorId="1" shapeId="0">
      <text>
        <t>候选渠道上游 ID，需按实际账号、端点、协议进行精确认证。
来源：https://zcode.z.ai/cn/docs/configuration
与 coding-glm-5.3-free 为不同 ID；需要独立渠道认证</t>
      </text>
    </comment>
  </commentList>
</comments>
</file>

<file path=xl/comments/comment2.xml><?xml version="1.0" encoding="utf-8"?>
<comments xmlns="http://schemas.openxmlformats.org/spreadsheetml/2006/main">
  <authors>
    <author>Relay catalog</author>
    <author>Relay Governance</author>
  </authors>
  <commentList>
    <comment ref="A8" authorId="0" shapeId="0">
      <text>
        <t xml:space="preserve">模型目录来源：https://developers.openai.com/api/docs/models/all
登记日期：2026-10-28。
新增能力只是业务候选目标；没有完成 Relay 供应/协议/预算/缓存认证。
</t>
      </text>
    </comment>
    <comment ref="B8" authorId="0" shapeId="0">
      <text>
        <t>候选对外模型名；需校验绑定渠道实际 API 型号：https://developers.openai.com/api/docs/models/all</t>
      </text>
    </comment>
    <comment ref="A9" authorId="0" shapeId="0">
      <text>
        <t xml:space="preserve">模型目录来源：https://developers.openai.com/api/docs/models/all
登记日期：2026-10-28。
新增能力只是业务候选目标；没有完成 Relay 供应/协议/预算/缓存认证。
</t>
      </text>
    </comment>
    <comment ref="B9" authorId="0" shapeId="0">
      <text>
        <t>候选对外模型名；需校验绑定渠道实际 API 型号：https://developers.openai.com/api/docs/models/all</t>
      </text>
    </comment>
    <comment ref="A10" authorId="0" shapeId="0">
      <text>
        <t xml:space="preserve">模型目录来源：https://developers.openai.com/api/docs/models/all
登记日期：2026-10-28。
新增能力只是业务候选目标；没有完成 Relay 供应/协议/预算/缓存认证。
</t>
      </text>
    </comment>
    <comment ref="B10" authorId="0" shapeId="0">
      <text>
        <t>候选对外模型名；需校验绑定渠道实际 API 型号：https://developers.openai.com/api/docs/models/all</t>
      </text>
    </comment>
    <comment ref="A11" authorId="0" shapeId="0">
      <text>
        <t xml:space="preserve">模型目录来源：https://developers.openai.com/api/docs/models/all
登记日期：2026-10-28。
新增能力只是业务候选目标；没有完成 Relay 供应/协议/预算/缓存认证。
</t>
      </text>
    </comment>
    <comment ref="B11" authorId="0" shapeId="0">
      <text>
        <t>候选对外模型名；需校验绑定渠道实际 API 型号：https://developers.openai.com/api/docs/models/all</t>
      </text>
    </comment>
    <comment ref="A12" authorId="0" shapeId="0">
      <text>
        <t>模型目录来源：https://developers.openai.com/api/docs/models/all
登记日期：2026-10-28。
新增能力只是业务候选目标；没有完成 Relay 供应/协议/预算/缓存认证。
API 模型仍应核对实际账户可用性</t>
      </text>
    </comment>
    <comment ref="B12" authorId="0" shapeId="0">
      <text>
        <t>候选对外模型名；需校验绑定渠道实际 API 型号：https://developers.openai.com/api/docs/models/all</t>
      </text>
    </comment>
    <comment ref="A13" authorId="0" shapeId="0">
      <text>
        <t xml:space="preserve">模型目录来源：https://platform.claude.com/docs/en/models/overview
登记日期：2026-10-28。
新增能力只是业务候选目标；没有完成 Relay 供应/协议/预算/缓存认证。
</t>
      </text>
    </comment>
    <comment ref="B13" authorId="0" shapeId="0">
      <text>
        <t>候选对外模型名；需校验绑定渠道实际 API 型号：https://platform.claude.com/docs/en/models/overview</t>
      </text>
    </comment>
    <comment ref="A14" authorId="0" shapeId="0">
      <text>
        <t xml:space="preserve">模型目录来源：https://platform.claude.com/docs/en/models/overview
登记日期：2026-10-28。
新增能力只是业务候选目标；没有完成 Relay 供应/协议/预算/缓存认证。
</t>
      </text>
    </comment>
    <comment ref="B14" authorId="0" shapeId="0">
      <text>
        <t>候选对外模型名；需校验绑定渠道实际 API 型号：https://platform.claude.com/docs/en/models/overview</t>
      </text>
    </comment>
    <comment ref="A15" authorId="0" shapeId="0">
      <text>
        <t xml:space="preserve">模型目录来源：https://platform.claude.com/docs/en/models/overview
登记日期：2026-10-28。
新增能力只是业务候选目标；没有完成 Relay 供应/协议/预算/缓存认证。
</t>
      </text>
    </comment>
    <comment ref="B15" authorId="0" shapeId="0">
      <text>
        <t>候选对外模型名；需校验绑定渠道实际 API 型号：https://platform.claude.com/docs/en/models/overview</t>
      </text>
    </comment>
    <comment ref="A16" authorId="0" shapeId="0">
      <text>
        <t xml:space="preserve">模型目录来源：https://platform.claude.com/docs/en/models/overview
登记日期：2026-10-28。
新增能力只是业务候选目标；没有完成 Relay 供应/协议/预算/缓存认证。
</t>
      </text>
    </comment>
    <comment ref="B16" authorId="0" shapeId="0">
      <text>
        <t>候选对外模型名；需校验绑定渠道实际 API 型号：https://platform.claude.com/docs/en/models/overview</t>
      </text>
    </comment>
    <comment ref="A17" authorId="0" shapeId="0">
      <text>
        <t xml:space="preserve">模型目录来源：https://ai.google.dev/gemini-api/docs/models
登记日期：2026-10-28。
新增能力只是业务候选目标；没有完成 Relay 供应/协议/预算/缓存认证。
</t>
      </text>
    </comment>
    <comment ref="B17" authorId="0" shapeId="0">
      <text>
        <t>候选对外模型名；需校验绑定渠道实际 API 型号：https://ai.google.dev/gemini-api/docs/models</t>
      </text>
    </comment>
    <comment ref="A18" authorId="0" shapeId="0">
      <text>
        <t xml:space="preserve">模型目录来源：https://ai.google.dev/gemini-api/docs/models
登记日期：2026-10-28。
新增能力只是业务候选目标；没有完成 Relay 供应/协议/预算/缓存认证。
</t>
      </text>
    </comment>
    <comment ref="B18" authorId="0" shapeId="0">
      <text>
        <t>候选对外模型名；需校验绑定渠道实际 API 型号：https://ai.google.dev/gemini-api/docs/models</t>
      </text>
    </comment>
    <comment ref="A19" authorId="0" shapeId="0">
      <text>
        <t xml:space="preserve">模型目录来源：https://ai.google.dev/gemini-api/docs/models
登记日期：2026-10-28。
新增能力只是业务候选目标；没有完成 Relay 供应/协议/预算/缓存认证。
</t>
      </text>
    </comment>
    <comment ref="B19" authorId="0" shapeId="0">
      <text>
        <t>候选对外模型名；需校验绑定渠道实际 API 型号：https://ai.google.dev/gemini-api/docs/models</t>
      </text>
    </comment>
    <comment ref="A20" authorId="0" shapeId="0">
      <text>
        <t xml:space="preserve">模型目录来源：https://www.alibabacloud.com/help/en/model-studio/text-generation-model
登记日期：2026-10-28。
新增能力只是业务候选目标；没有完成 Relay 供应/协议/预算/缓存认证。
</t>
      </text>
    </comment>
    <comment ref="B20" authorId="0" shapeId="0">
      <text>
        <t>候选对外模型名；需校验绑定渠道实际 API 型号：https://www.alibabacloud.com/help/en/model-studio/text-generation-model</t>
      </text>
    </comment>
    <comment ref="A21" authorId="0" shapeId="0">
      <text>
        <t xml:space="preserve">模型目录来源：https://www.alibabacloud.com/help/en/model-studio/text-generation-model
登记日期：2026-10-28。
新增能力只是业务候选目标；没有完成 Relay 供应/协议/预算/缓存认证。
</t>
      </text>
    </comment>
    <comment ref="B21" authorId="0" shapeId="0">
      <text>
        <t>候选对外模型名；需校验绑定渠道实际 API 型号：https://www.alibabacloud.com/help/en/model-studio/text-generation-model</t>
      </text>
    </comment>
    <comment ref="A22" authorId="0" shapeId="0">
      <text>
        <t xml:space="preserve">模型目录来源：https://www.alibabacloud.com/help/en/model-studio/text-generation-model
登记日期：2026-10-28。
新增能力只是业务候选目标；没有完成 Relay 供应/协议/预算/缓存认证。
</t>
      </text>
    </comment>
    <comment ref="B22" authorId="0" shapeId="0">
      <text>
        <t>候选对外模型名；需校验绑定渠道实际 API 型号：https://www.alibabacloud.com/help/en/model-studio/text-generation-model</t>
      </text>
    </comment>
    <comment ref="A23" authorId="0" shapeId="0">
      <text>
        <t xml:space="preserve">模型目录来源：https://www.alibabacloud.com/help/en/model-studio/text-generation-model
登记日期：2026-10-28。
新增能力只是业务候选目标；没有完成 Relay 供应/协议/预算/缓存认证。
</t>
      </text>
    </comment>
    <comment ref="B23" authorId="0" shapeId="0">
      <text>
        <t>候选对外模型名；需校验绑定渠道实际 API 型号：https://www.alibabacloud.com/help/en/model-studio/text-generation-model</t>
      </text>
    </comment>
    <comment ref="A24" authorId="0" shapeId="0">
      <text>
        <t xml:space="preserve">模型目录来源：https://www.alibabacloud.com/help/en/model-studio/text-generation-model
登记日期：2026-10-28。
新增能力只是业务候选目标；没有完成 Relay 供应/协议/预算/缓存认证。
</t>
      </text>
    </comment>
    <comment ref="B24" authorId="0" shapeId="0">
      <text>
        <t>候选对外模型名；需校验绑定渠道实际 API 型号：https://www.alibabacloud.com/help/en/model-studio/text-generation-model</t>
      </text>
    </comment>
    <comment ref="A25" authorId="0" shapeId="0">
      <text>
        <t xml:space="preserve">模型目录来源：https://www.alibabacloud.com/help/en/model-studio/text-generation-model
登记日期：2026-10-28。
新增能力只是业务候选目标；没有完成 Relay 供应/协议/预算/缓存认证。
</t>
      </text>
    </comment>
    <comment ref="B25" authorId="0" shapeId="0">
      <text>
        <t>候选对外模型名；需校验绑定渠道实际 API 型号：https://www.alibabacloud.com/help/en/model-studio/text-generation-model</t>
      </text>
    </comment>
    <comment ref="A26" authorId="0" shapeId="0">
      <text>
        <t xml:space="preserve">模型目录来源：https://api-docs.deepseek.com/updates/
登记日期：2026-10-28。
新增能力只是业务候选目标；没有完成 Relay 供应/协议/预算/缓存认证。
</t>
      </text>
    </comment>
    <comment ref="B26" authorId="0" shapeId="0">
      <text>
        <t>候选对外模型名；需校验绑定渠道实际 API 型号：https://api-docs.deepseek.com/updates/</t>
      </text>
    </comment>
    <comment ref="A27" authorId="0" shapeId="0">
      <text>
        <t>模型目录来源：https://api-docs.deepseek.com/updates/
登记日期：2026-10-28。
新增能力只是业务候选目标；没有完成 Relay 供应/协议/预算/缓存认证。
官方文档现行 API 名称；不要继续使用已停用的 deepseek-chat</t>
      </text>
    </comment>
    <comment ref="B27" authorId="0" shapeId="0">
      <text>
        <t>候选对外模型名；需校验绑定渠道实际 API 型号：https://api-docs.deepseek.com/updates/</t>
      </text>
    </comment>
    <comment ref="A28" authorId="0" shapeId="0">
      <text>
        <t>模型目录来源：https://www.alibabacloud.com/help/en/model-studio/text-generation-model
登记日期：2026-10-28。
新增能力只是业务候选目标；没有完成 Relay 供应/协议/预算/缓存认证。
该 ID 来自百炼模型列表，非 Moonshot 官方渠道认证</t>
      </text>
    </comment>
    <comment ref="B28" authorId="0" shapeId="0">
      <text>
        <t>候选对外模型名；需校验绑定渠道实际 API 型号：https://www.alibabacloud.com/help/en/model-studio/text-generation-model</t>
      </text>
    </comment>
    <comment ref="A29" authorId="0" shapeId="0">
      <text>
        <t>模型目录来源：https://www.alibabacloud.com/help/en/model-studio/text-generation-model
登记日期：2026-10-28。
新增能力只是业务候选目标；没有完成 Relay 供应/协议/预算/缓存认证。
该 ID 来自百炼模型列表，非 Moonshot 官方渠道认证</t>
      </text>
    </comment>
    <comment ref="B29" authorId="0" shapeId="0">
      <text>
        <t>候选对外模型名；需校验绑定渠道实际 API 型号：https://www.alibabacloud.com/help/en/model-studio/text-generation-model</t>
      </text>
    </comment>
    <comment ref="A30" authorId="0" shapeId="0">
      <text>
        <t>模型目录来源：https://docs.mistral.ai/models
登记日期：2026-10-28。
新增能力只是业务候选目标；没有完成 Relay 供应/协议/预算/缓存认证。
型号见 Mistral 第三方目录；智谱官方渠道尚未确认</t>
      </text>
    </comment>
    <comment ref="B30" authorId="1" shapeId="0">
      <text>
        <t>官方能力背景：https://z.ai/blog/glm-5.3
旧版错误的 Mistral 链接已修复；接口型号仍须供应级认证。</t>
      </text>
    </comment>
    <comment ref="A31" authorId="0" shapeId="0">
      <text>
        <t>模型目录来源：https://docs.mistral.ai/models
登记日期：2026-10-28。
新增能力只是业务候选目标；没有完成 Relay 供应/协议/预算/缓存认证。
型号需以实际渠道为准</t>
      </text>
    </comment>
    <comment ref="B31" authorId="1" shapeId="0">
      <text>
        <t>官方能力背景：https://z.ai/blog/glm-5.3
旧版错误的 Mistral 链接已修复；接口型号仍须供应级认证。</t>
      </text>
    </comment>
    <comment ref="A32" authorId="0" shapeId="0">
      <text>
        <t xml:space="preserve">模型目录来源：https://platform.minimax.io/subscribe/token-plan
登记日期：2026-10-28。
新增能力只是业务候选目标；没有完成 Relay 供应/协议/预算/缓存认证。
</t>
      </text>
    </comment>
    <comment ref="B32" authorId="0" shapeId="0">
      <text>
        <t>候选对外模型名；需校验绑定渠道实际 API 型号：https://platform.minimax.io/subscribe/token-plan</t>
      </text>
    </comment>
    <comment ref="A33" authorId="0" shapeId="0">
      <text>
        <t xml:space="preserve">模型目录来源：https://platform.minimax.io/subscribe/token-plan
登记日期：2026-10-28。
新增能力只是业务候选目标；没有完成 Relay 供应/协议/预算/缓存认证。
</t>
      </text>
    </comment>
    <comment ref="B33" authorId="0" shapeId="0">
      <text>
        <t>候选对外模型名；需校验绑定渠道实际 API 型号：https://platform.minimax.io/subscribe/token-plan</t>
      </text>
    </comment>
    <comment ref="A34" authorId="0" shapeId="0">
      <text>
        <t xml:space="preserve">模型目录来源：https://platform.minimax.io/subscribe/token-plan
登记日期：2026-10-28。
新增能力只是业务候选目标；没有完成 Relay 供应/协议/预算/缓存认证。
</t>
      </text>
    </comment>
    <comment ref="B34" authorId="0" shapeId="0">
      <text>
        <t>候选对外模型名；需校验绑定渠道实际 API 型号：https://platform.minimax.io/subscribe/token-plan</t>
      </text>
    </comment>
    <comment ref="A35" authorId="0" shapeId="0">
      <text>
        <t xml:space="preserve">模型目录来源：https://docs.x.ai/developers/models
登记日期：2026-10-28。
新增能力只是业务候选目标；没有完成 Relay 供应/协议/预算/缓存认证。
</t>
      </text>
    </comment>
    <comment ref="B35" authorId="0" shapeId="0">
      <text>
        <t>候选对外模型名；需校验绑定渠道实际 API 型号：https://docs.x.ai/developers/models</t>
      </text>
    </comment>
    <comment ref="A36" authorId="0" shapeId="0">
      <text>
        <t>模型目录来源：https://docs.mistral.ai/models
登记日期：2026-10-28。
新增能力只是业务候选目标；没有完成 Relay 供应/协议/预算/缓存认证。
官网标示 Preview；不得视作生产认证</t>
      </text>
    </comment>
    <comment ref="B36" authorId="0" shapeId="0">
      <text>
        <t>候选对外模型名；需校验绑定渠道实际 API 型号：https://docs.mistral.ai/models</t>
      </text>
    </comment>
    <comment ref="A37" authorId="0" shapeId="0">
      <text>
        <t>模型目录来源：https://docs.mistral.ai/models
登记日期：2026-10-28。
新增能力只是业务候选目标；没有完成 Relay 供应/协议/预算/缓存认证。
latest 为可变别名；发布须冻结实际模型</t>
      </text>
    </comment>
    <comment ref="B37" authorId="0" shapeId="0">
      <text>
        <t>候选对外模型名；需校验绑定渠道实际 API 型号：https://docs.mistral.ai/models</t>
      </text>
    </comment>
    <comment ref="A38" authorId="0" shapeId="0">
      <text>
        <t>模型目录来源：https://docs.mistral.ai/models
登记日期：2026-10-28。
新增能力只是业务候选目标；没有完成 Relay 供应/协议/预算/缓存认证。
latest 为可变别名；发布须冻结实际模型</t>
      </text>
    </comment>
    <comment ref="B38" authorId="0" shapeId="0">
      <text>
        <t>候选对外模型名；需校验绑定渠道实际 API 型号：https://docs.mistral.ai/models</t>
      </text>
    </comment>
    <comment ref="A39" authorId="0" shapeId="0">
      <text>
        <t>模型目录来源：https://docs.mistral.ai/models
登记日期：2026-10-28。
新增能力只是业务候选目标；没有完成 Relay 供应/协议/预算/缓存认证。
latest 为可变别名；发布须冻结实际模型</t>
      </text>
    </comment>
    <comment ref="B39" authorId="0" shapeId="0">
      <text>
        <t>候选对外模型名；需校验绑定渠道实际 API 型号：https://docs.mistral.ai/models</t>
      </text>
    </comment>
    <comment ref="A40" authorId="0" shapeId="0">
      <text>
        <t xml:space="preserve">模型目录来源：https://docs.volcengine.com/docs/ark/model-list?lang=en
登记日期：2026-10-28。
新增能力只是业务候选目标；没有完成 Relay 供应/协议/预算/缓存认证。
</t>
      </text>
    </comment>
    <comment ref="B40" authorId="0" shapeId="0">
      <text>
        <t>候选对外模型名；需校验绑定渠道实际 API 型号：https://docs.volcengine.com/docs/ark/model-list?lang=en</t>
      </text>
    </comment>
    <comment ref="A41" authorId="0" shapeId="0">
      <text>
        <t xml:space="preserve">模型目录来源：https://docs.volcengine.com/docs/ark/model-list?lang=en
登记日期：2026-10-28。
新增能力只是业务候选目标；没有完成 Relay 供应/协议/预算/缓存认证。
</t>
      </text>
    </comment>
    <comment ref="B41" authorId="0" shapeId="0">
      <text>
        <t>候选对外模型名；需校验绑定渠道实际 API 型号：https://docs.volcengine.com/docs/ark/model-list?lang=en</t>
      </text>
    </comment>
    <comment ref="A42" authorId="0" shapeId="0">
      <text>
        <t xml:space="preserve">模型目录来源：https://docs.volcengine.com/docs/ark/model-list?lang=en
登记日期：2026-10-28。
新增能力只是业务候选目标；没有完成 Relay 供应/协议/预算/缓存认证。
</t>
      </text>
    </comment>
    <comment ref="B42" authorId="0" shapeId="0">
      <text>
        <t>候选对外模型名；需校验绑定渠道实际 API 型号：https://docs.volcengine.com/docs/ark/model-list?lang=en</t>
      </text>
    </comment>
    <comment ref="A43" authorId="0" shapeId="0">
      <text>
        <t>模型目录来源：https://cloud.baidu.com/doc/qianfan-api/s/Dmba8k71y
登记日期：2026-10-28。
新增能力只是业务候选目标；没有完成 Relay 供应/协议/预算/缓存认证。
5.1 型号请以目标千帆账号模型清单为准</t>
      </text>
    </comment>
    <comment ref="B43" authorId="0" shapeId="0">
      <text>
        <t>候选对外模型名；需校验绑定渠道实际 API 型号：https://cloud.baidu.com/doc/qianfan-api/s/Dmba8k71y</t>
      </text>
    </comment>
    <comment ref="A44" authorId="0" shapeId="0">
      <text>
        <t xml:space="preserve">模型目录来源：https://cloud.baidu.com/doc/qianfan-api/s/Dmba8k71y
登记日期：2026-10-28。
新增能力只是业务候选目标；没有完成 Relay 供应/协议/预算/缓存认证。
</t>
      </text>
    </comment>
    <comment ref="B44" authorId="0" shapeId="0">
      <text>
        <t>候选对外模型名；需校验绑定渠道实际 API 型号：https://cloud.baidu.com/doc/qianfan-api/s/Dmba8k71y</t>
      </text>
    </comment>
    <comment ref="A45" authorId="0" shapeId="0">
      <text>
        <t>模型目录来源：https://cloud.tencent.com/document/product/1729/105701
登记日期：2026-10-28。
新增能力只是业务候选目标；没有完成 Relay 供应/协议/预算/缓存认证。
latest 为可变别名；发布须冻结实际模型</t>
      </text>
    </comment>
    <comment ref="B45" authorId="0" shapeId="0">
      <text>
        <t>候选对外模型名；需校验绑定渠道实际 API 型号：https://cloud.tencent.com/document/product/1729/105701</t>
      </text>
    </comment>
    <comment ref="A46" authorId="0" shapeId="0">
      <text>
        <t xml:space="preserve">模型目录来源：https://cloud.tencent.com/document/product/1729/105701
登记日期：2026-10-28。
新增能力只是业务候选目标；没有完成 Relay 供应/协议/预算/缓存认证。
</t>
      </text>
    </comment>
    <comment ref="B46" authorId="0" shapeId="0">
      <text>
        <t>候选对外模型名；需校验绑定渠道实际 API 型号：https://cloud.tencent.com/document/product/1729/105701</t>
      </text>
    </comment>
    <comment ref="A47" authorId="0" shapeId="0">
      <text>
        <t>模型目录来源：https://ai.meta.com/resources/models-and-libraries/llama-downloads/
登记日期：2026-10-28。
新增能力只是业务候选目标；没有完成 Relay 供应/协议/预算/缓存认证。
上游列仅为模型仓库标识，不是可调用 API 型号；发布前必换具体端点 ID</t>
      </text>
    </comment>
    <comment ref="B47" authorId="0" shapeId="0">
      <text>
        <t>候选对外模型名；需校验绑定渠道实际 API 型号：https://ai.meta.com/resources/models-and-libraries/llama-downloads/</t>
      </text>
    </comment>
    <comment ref="A48" authorId="0" shapeId="0">
      <text>
        <t>模型目录来源：https://ai.meta.com/resources/models-and-libraries/llama-downloads/
登记日期：2026-10-28。
新增能力只是业务候选目标；没有完成 Relay 供应/协议/预算/缓存认证。
上游列仅为模型仓库标识，不是可调用 API 型号；发布前必换具体端点 ID</t>
      </text>
    </comment>
    <comment ref="B48" authorId="0" shapeId="0">
      <text>
        <t>候选对外模型名；需校验绑定渠道实际 API 型号：https://ai.meta.com/resources/models-and-libraries/llama-downloads/</t>
      </text>
    </comment>
    <comment ref="A49" authorId="0" shapeId="0">
      <text>
        <t>模型目录来源：https://console.groq.com/docs/models
登记日期：2026-10-28。
新增能力只是业务候选目标；没有完成 Relay 供应/协议/预算/缓存认证。
该 ID 仅适用于 GroqCloud；不是 OpenAI 官方 API 路由</t>
      </text>
    </comment>
    <comment ref="B49" authorId="0" shapeId="0">
      <text>
        <t>候选对外模型名；需校验绑定渠道实际 API 型号：https://console.groq.com/docs/models</t>
      </text>
    </comment>
    <comment ref="A50" authorId="0" shapeId="0">
      <text>
        <t>模型目录来源：https://console.groq.com/docs/models
登记日期：2026-10-28。
新增能力只是业务候选目标；没有完成 Relay 供应/协议/预算/缓存认证。
该 ID 仅适用于 GroqCloud；不是 OpenAI 官方 API 路由</t>
      </text>
    </comment>
    <comment ref="B50" authorId="0" shapeId="0">
      <text>
        <t>候选对外模型名；需校验绑定渠道实际 API 型号：https://console.groq.com/docs/models</t>
      </text>
    </comment>
    <comment ref="B51" authorId="1" shapeId="0">
      <text>
        <t>ID 分类：官方预览模型
来源：https://ai.google.dev/gemini-api/docs/models
Preview 型号；需按账号、区域和渠道确认仍可调用
该行仅为配置声明草案，未认证且无流量。</t>
      </text>
    </comment>
    <comment ref="G51" authorId="1" shapeId="0">
      <text>
        <t>8192 是保守的 Relay 目标值，不代表供应商最大输出能力；认证通过之前不能发布。</t>
      </text>
    </comment>
    <comment ref="B52" authorId="1" shapeId="0">
      <text>
        <t>ID 分类：用户截图所示聚合路由别名
来源：https://ai.google.dev/gemini-api/docs/models
Google 官方目录未列出此带 -search 后缀的独立型号；是否绑定搜索工具须单独验收
该行仅为配置声明草案，未认证且无流量。</t>
      </text>
    </comment>
    <comment ref="G52" authorId="1" shapeId="0">
      <text>
        <t>8192 是保守的 Relay 目标值，不代表供应商最大输出能力；认证通过之前不能发布。</t>
      </text>
    </comment>
    <comment ref="B53" authorId="1" shapeId="0">
      <text>
        <t>ID 分类：用户截图所示聚合免费路由别名
来源：https://ai.google.dev/gemini-api/docs/models
Google 官方型号为 gemini-3.5-flash-lite；-free 仅按截图登记，不能推断免费额度
该行仅为配置声明草案，未认证且无流量。</t>
      </text>
    </comment>
    <comment ref="G53" authorId="1" shapeId="0">
      <text>
        <t>8192 是保守的 Relay 目标值，不代表供应商最大输出能力；认证通过之前不能发布。</t>
      </text>
    </comment>
    <comment ref="B54" authorId="1" shapeId="0">
      <text>
        <t>ID 分类：官方模型 ID
来源：https://docs.x.ai/developers/pricing
具体提供范围、协议和账号可用性待认证
该行仅为配置声明草案，未认证且无流量。</t>
      </text>
    </comment>
    <comment ref="G54" authorId="1" shapeId="0">
      <text>
        <t>8192 是保守的 Relay 目标值，不代表供应商最大输出能力；认证通过之前不能发布。</t>
      </text>
    </comment>
    <comment ref="B55" authorId="1" shapeId="0">
      <text>
        <t>ID 分类：官方模型 ID
来源：https://docs.x.ai/developers/pricing
具体提供范围、协议和账号可用性待认证
该行仅为配置声明草案，未认证且无流量。</t>
      </text>
    </comment>
    <comment ref="G55" authorId="1" shapeId="0">
      <text>
        <t>8192 是保守的 Relay 目标值，不代表供应商最大输出能力；认证通过之前不能发布。</t>
      </text>
    </comment>
    <comment ref="B56" authorId="1" shapeId="0">
      <text>
        <t>ID 分类：Moonshot 模型；各渠道 ID 可能不同
来源：https://huggingface.co/moonshotai/Kimi-K3
Moonshot/聚合渠道实际 API 型号和参数须逐渠道冻结
该行仅为配置声明草案，未认证且无流量。</t>
      </text>
    </comment>
    <comment ref="G56" authorId="1" shapeId="0">
      <text>
        <t>8192 是保守的 Relay 目标值，不代表供应商最大输出能力；认证通过之前不能发布。</t>
      </text>
    </comment>
    <comment ref="B57" authorId="1" shapeId="0">
      <text>
        <t>ID 分类：Moonshot 编码模型；官方权重名称与 API ID 区别
来源：https://huggingface.co/moonshotai/Kimi-K2.7-Code
编码模型；推理参数与可用接入协议单独验证
该行仅为配置声明草案，未认证且无流量。</t>
      </text>
    </comment>
    <comment ref="G57" authorId="1" shapeId="0">
      <text>
        <t>8192 是保守的 Relay 目标值，不代表供应商最大输出能力；认证通过之前不能发布。</t>
      </text>
    </comment>
    <comment ref="B58" authorId="1" shapeId="0">
      <text>
        <t>ID 分类：官方 API 模型 ID
来源：https://platform.claude.com/docs/en/models/overview
不是 Claude Sonnet 5.5；两者作为独立型号冻结
该行仅为配置声明草案，未认证且无流量。</t>
      </text>
    </comment>
    <comment ref="G58" authorId="1" shapeId="0">
      <text>
        <t>8192 是保守的 Relay 目标值，不代表供应商最大输出能力；认证通过之前不能发布。</t>
      </text>
    </comment>
    <comment ref="B59" authorId="1" shapeId="0">
      <text>
        <t>ID 分类：用户提供的聚合免费路由别名
来源：https://zcode.z.ai/cn/docs/configuration
不等于 Z.AI 官方 glm-5.3；免费/限流/代码接口需渠道认证
该行仅为配置声明草案，未认证且无流量。</t>
      </text>
    </comment>
    <comment ref="G59" authorId="1" shapeId="0">
      <text>
        <t>8192 是保守的 Relay 目标值，不代表供应商最大输出能力；认证通过之前不能发布。</t>
      </text>
    </comment>
    <comment ref="B60" authorId="1" shapeId="0">
      <text>
        <t>ID 分类：用户提供的聚合免费路由别名
来源：https://mimo.mi.com/docs/en-US/quick-start/model
小米官方 ID 为 mimo-v2.6-pro；-free 是独立聚合渠道路由声明
该行仅为配置声明草案，未认证且无流量。</t>
      </text>
    </comment>
    <comment ref="G60" authorId="1" shapeId="0">
      <text>
        <t>8192 是保守的 Relay 目标值，不代表供应商最大输出能力；认证通过之前不能发布。</t>
      </text>
    </comment>
    <comment ref="B61" authorId="1" shapeId="0">
      <text>
        <t>ID 分类：额外补漏：官方新版模型 ID
来源：https://developers.openai.com/api/docs/models/all
不能用 gpt-6-sol 的旧档位或协议兼容假设代替新版认证
该行仅为配置声明草案，未认证且无流量。</t>
      </text>
    </comment>
    <comment ref="G61" authorId="1" shapeId="0">
      <text>
        <t>8192 是保守的 Relay 目标值，不代表供应商最大输出能力；认证通过之前不能发布。</t>
      </text>
    </comment>
    <comment ref="B62" authorId="1" shapeId="0">
      <text>
        <t>ID 分类：额外补漏：官方历史活跃模型 ID
来源：https://platform.claude.com/docs/en/models/overview
与 claude-opus-5-5 分开管理，不自动合并
该行仅为配置声明草案，未认证且无流量。</t>
      </text>
    </comment>
    <comment ref="G62" authorId="1" shapeId="0">
      <text>
        <t>8192 是保守的 Relay 目标值，不代表供应商最大输出能力；认证通过之前不能发布。</t>
      </text>
    </comment>
    <comment ref="B63" authorId="1" shapeId="0">
      <text>
        <t>ID 分类：额外补漏：小米官方 API 模型 ID
来源：https://mimo.mi.com/docs/en-US/quick-start/model
官方直连与 xiaomi-mimo-v2.6-pro-free 不能共用供应身份
该行仅为配置声明草案，未认证且无流量。</t>
      </text>
    </comment>
    <comment ref="G63" authorId="1" shapeId="0">
      <text>
        <t>8192 是保守的 Relay 目标值，不代表供应商最大输出能力；认证通过之前不能发布。</t>
      </text>
    </comment>
    <comment ref="B64" authorId="1" shapeId="0">
      <text>
        <t>ID 分类：额外补漏：GLM 官方 Flash 型号
来源：https://zcode.z.ai/cn/docs/configuration
与 coding-glm-5.3-free 为不同 ID；需要独立渠道认证
该行仅为配置声明草案，未认证且无流量。</t>
      </text>
    </comment>
    <comment ref="G64" authorId="1" shapeId="0">
      <text>
        <t>8192 是保守的 Relay 目标值，不代表供应商最大输出能力；认证通过之前不能发布。</t>
      </text>
    </comment>
  </commentList>
</comments>
</file>

<file path=xl/tables/table1.xml><?xml version="1.0" encoding="utf-8"?>
<table xmlns="http://schemas.openxmlformats.org/spreadsheetml/2006/main" id="1" name="ChannelPriority" displayName="ChannelPriority" ref="A5:I105" headerRowCount="1" totalsRowCount="0" totalsRowShown="0">
  <tableColumns count="9">
    <tableColumn id="1" name="对外模型名"/>
    <tableColumn id="2" name="环境"/>
    <tableColumn id="3" name="渠道名称"/>
    <tableColumn id="4" name="渠道侧模型名"/>
    <tableColumn id="5" name="顺位"/>
    <tableColumn id="6" name="启用意向"/>
    <tableColumn id="7" name="不可用时"/>
    <tableColumn id="8" name="说明"/>
    <tableColumn id="9" name="本地检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delDirectory" displayName="ModelDirectory" ref="A5:I105" headerRowCount="1" totalsRowCount="0" totalsRowShown="0">
  <tableColumns count="9">
    <tableColumn id="1" name="显示名称"/>
    <tableColumn id="2" name="对外模型名"/>
    <tableColumn id="3" name="提供方"/>
    <tableColumn id="4" name="输入类型"/>
    <tableColumn id="5" name="思考档位"/>
    <tableColumn id="6" name="结构化输出"/>
    <tableColumn id="7" name="目标输出上限 Token"/>
    <tableColumn id="8" name="发布意向"/>
    <tableColumn id="9" name="本地检查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cheSettings" displayName="CacheSettings" ref="A5:K105" headerRowCount="1" totalsRowCount="0" totalsRowShown="0">
  <tableColumns count="11">
    <tableColumn id="1" name="对外模型名"/>
    <tableColumn id="2" name="渠道名称"/>
    <tableColumn id="3" name="缓存机制"/>
    <tableColumn id="4" name="默认策略"/>
    <tableColumn id="5" name="可选强制"/>
    <tableColumn id="6" name="计划门槛 Token"/>
    <tableColumn id="7" name="资源有效期 分钟"/>
    <tableColumn id="8" name="自动准备失败时"/>
    <tableColumn id="9" name="启用意向"/>
    <tableColumn id="10" name="说明"/>
    <tableColumn id="11" name="本地检查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UsageRules" displayName="UsageRules" ref="A5:B15" headerRowCount="1" totalsRowCount="0" totalsRowShown="0">
  <tableColumns count="2">
    <tableColumn id="1" name="事项"/>
    <tableColumn id="2" name="规则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atalogSources" displayName="CatalogSources" ref="A26:B47" headerRowCount="1">
  <autoFilter ref="A26:B41"/>
  <tableColumns count="2">
    <tableColumn id="1" name="资料来源（官方/托管平台）"/>
    <tableColumn id="2" name="模型目录与模型 ID 校验入口；访问日期 2026-10-28。上线前仍须验证账号、区域和具体端点。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delIdReview" displayName="ModelIdReview" ref="A50:B64" headerRowCount="1">
  <autoFilter ref="A50:B64"/>
  <tableColumns count="2">
    <tableColumn id="1" name="对外模型 ID"/>
    <tableColumn id="2" name="核验分类与发布限制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developers.openai.com/api/docs/models/all" TargetMode="External" Id="rId1"/><Relationship Type="http://schemas.openxmlformats.org/officeDocument/2006/relationships/hyperlink" Target="https://platform.claude.com/docs/en/models/overview" TargetMode="External" Id="rId2"/><Relationship Type="http://schemas.openxmlformats.org/officeDocument/2006/relationships/hyperlink" Target="https://ai.google.dev/gemini-api/docs/models" TargetMode="External" Id="rId3"/><Relationship Type="http://schemas.openxmlformats.org/officeDocument/2006/relationships/hyperlink" Target="https://www.alibabacloud.com/help/en/model-studio/text-generation-model" TargetMode="External" Id="rId4"/><Relationship Type="http://schemas.openxmlformats.org/officeDocument/2006/relationships/hyperlink" Target="https://api-docs.deepseek.com/updates/" TargetMode="External" Id="rId5"/><Relationship Type="http://schemas.openxmlformats.org/officeDocument/2006/relationships/hyperlink" Target="https://www.alibabacloud.com/help/en/model-studio/text-generation-model" TargetMode="External" Id="rId6"/><Relationship Type="http://schemas.openxmlformats.org/officeDocument/2006/relationships/hyperlink" Target="https://docs.mistral.ai/models" TargetMode="External" Id="rId7"/><Relationship Type="http://schemas.openxmlformats.org/officeDocument/2006/relationships/hyperlink" Target="https://platform.minimax.io/subscribe/token-plan" TargetMode="External" Id="rId8"/><Relationship Type="http://schemas.openxmlformats.org/officeDocument/2006/relationships/hyperlink" Target="https://docs.x.ai/developers/models" TargetMode="External" Id="rId9"/><Relationship Type="http://schemas.openxmlformats.org/officeDocument/2006/relationships/hyperlink" Target="https://docs.mistral.ai/models" TargetMode="External" Id="rId10"/><Relationship Type="http://schemas.openxmlformats.org/officeDocument/2006/relationships/hyperlink" Target="https://docs.volcengine.com/docs/ark/model-list?lang=en" TargetMode="External" Id="rId11"/><Relationship Type="http://schemas.openxmlformats.org/officeDocument/2006/relationships/hyperlink" Target="https://cloud.baidu.com/doc/qianfan-api/s/Dmba8k71y" TargetMode="External" Id="rId12"/><Relationship Type="http://schemas.openxmlformats.org/officeDocument/2006/relationships/hyperlink" Target="https://cloud.tencent.com/document/product/1729/105701" TargetMode="External" Id="rId13"/><Relationship Type="http://schemas.openxmlformats.org/officeDocument/2006/relationships/hyperlink" Target="https://ai.meta.com/resources/models-and-libraries/llama-downloads/" TargetMode="External" Id="rId14"/><Relationship Type="http://schemas.openxmlformats.org/officeDocument/2006/relationships/hyperlink" Target="https://console.groq.com/docs/models" TargetMode="External" Id="rId15"/><Relationship Type="http://schemas.openxmlformats.org/officeDocument/2006/relationships/table" Target="/xl/tables/table4.xml" Id="rId16"/><Relationship Type="http://schemas.openxmlformats.org/officeDocument/2006/relationships/table" Target="/xl/tables/table5.xml" Id="rId17"/><Relationship Type="http://schemas.openxmlformats.org/officeDocument/2006/relationships/table" Target="/xl/tables/table6.xml" Id="rId18"/></Relationships>
</file>

<file path=xl/worksheets/sheet1.xml><?xml version="1.0" encoding="utf-8"?>
<worksheet xmlns="http://schemas.openxmlformats.org/spreadsheetml/2006/main">
  <sheetPr>
    <tabColor rgb="FF183653"/>
    <outlinePr summaryBelow="1" summaryRight="1"/>
    <pageSetUpPr fitToPage="1"/>
  </sheetPr>
  <dimension ref="A1:I10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40" customWidth="1" min="1" max="1"/>
    <col width="12" customWidth="1" min="2" max="2"/>
    <col width="38" customWidth="1" min="3" max="3"/>
    <col width="40" customWidth="1" min="4" max="4"/>
    <col width="10" customWidth="1" min="5" max="5"/>
    <col width="14" customWidth="1" min="6" max="6"/>
    <col width="20" customWidth="1" min="7" max="7"/>
    <col width="65" customWidth="1" min="8" max="8"/>
    <col width="19" customWidth="1" min="9" max="9"/>
  </cols>
  <sheetData>
    <row r="1">
      <c r="A1" s="1" t="inlineStr">
        <is>
          <t>渠道优先级</t>
        </is>
      </c>
    </row>
    <row r="2">
      <c r="A2" s="2" t="inlineStr">
        <is>
          <t>按“对外模型名 + 环境”配置顺位；1 最优先。只影响新会话的渠道选择。</t>
        </is>
      </c>
    </row>
    <row r="3">
      <c r="A3" s="3" t="inlineStr">
        <is>
          <t>浅黄色单元格可编辑；“本地检查”仅检查表内填写，正式生效仍需系统验证与发布。</t>
        </is>
      </c>
    </row>
    <row r="5" ht="31" customHeight="1">
      <c r="A5" s="8" t="inlineStr">
        <is>
          <t>对外模型名</t>
        </is>
      </c>
      <c r="B5" s="8" t="inlineStr">
        <is>
          <t>环境</t>
        </is>
      </c>
      <c r="C5" s="8" t="inlineStr">
        <is>
          <t>渠道名称</t>
        </is>
      </c>
      <c r="D5" s="8" t="inlineStr">
        <is>
          <t>渠道侧模型名</t>
        </is>
      </c>
      <c r="E5" s="8" t="inlineStr">
        <is>
          <t>顺位</t>
        </is>
      </c>
      <c r="F5" s="8" t="inlineStr">
        <is>
          <t>启用意向</t>
        </is>
      </c>
      <c r="G5" s="8" t="inlineStr">
        <is>
          <t>不可用时</t>
        </is>
      </c>
      <c r="H5" s="8" t="inlineStr">
        <is>
          <t>说明</t>
        </is>
      </c>
      <c r="I5" s="8" t="inlineStr">
        <is>
          <t>本地检查</t>
        </is>
      </c>
    </row>
    <row r="6" ht="31" customHeight="1">
      <c r="A6" s="9" t="inlineStr">
        <is>
          <t>gemini-3.6-flash</t>
        </is>
      </c>
      <c r="B6" s="9" t="inlineStr">
        <is>
          <t>测试</t>
        </is>
      </c>
      <c r="C6" s="9" t="inlineStr">
        <is>
          <t>AIHubMix Gemini</t>
        </is>
      </c>
      <c r="D6" s="9" t="inlineStr">
        <is>
          <t>gemini-3.6-flash</t>
        </is>
      </c>
      <c r="E6" s="12" t="n">
        <v>1</v>
      </c>
      <c r="F6" s="11" t="inlineStr">
        <is>
          <t>停用</t>
        </is>
      </c>
      <c r="G6" s="9" t="inlineStr">
        <is>
          <t>尝试下一顺位</t>
        </is>
      </c>
      <c r="H6" s="9" t="inlineStr">
        <is>
          <t>现有 Gemini 连接；该新模型待验证</t>
        </is>
      </c>
      <c r="I6" s="10" t="str">
        <f>IF(A6="","",IF(COUNTIF('模型清单'!$B$6:$B$105,A6)=0,"模型未登记",IF(OR(B6="",C6="",D6="",E6="",F6="",G6=""),"信息不完整",IF(COUNTIFS($A$6:$A$105,A6,$B$6:$B$105,B6,$E$6:$E$105,E6)&gt;1,"顺位重复",IF(COUNTIFS($A$6:$A$105,A6,$B$6:$B$105,B6,$C$6:$C$105,C6)&gt;1,"渠道重复","待系统验证")))))</f>
        <v>待系统验证</v>
      </c>
    </row>
    <row r="7" ht="31" customHeight="1">
      <c r="A7" s="9" t="inlineStr">
        <is>
          <t>gemini-3.6-flash</t>
        </is>
      </c>
      <c r="B7" s="9" t="inlineStr">
        <is>
          <t>测试</t>
        </is>
      </c>
      <c r="C7" s="9" t="inlineStr">
        <is>
          <t>Google 官方（规划）</t>
        </is>
      </c>
      <c r="D7" s="9" t="inlineStr">
        <is>
          <t>gemini-3.6-flash</t>
        </is>
      </c>
      <c r="E7" s="12" t="n">
        <v>2</v>
      </c>
      <c r="F7" s="11" t="inlineStr">
        <is>
          <t>停用</t>
        </is>
      </c>
      <c r="G7" s="9" t="inlineStr">
        <is>
          <t>拒绝新会话</t>
        </is>
      </c>
      <c r="H7" s="9" t="inlineStr">
        <is>
          <t>仅演示备用顺位；该渠道尚未接入</t>
        </is>
      </c>
      <c r="I7" s="10" t="str">
        <f>IF(A7="","",IF(COUNTIF('模型清单'!$B$6:$B$105,A7)=0,"模型未登记",IF(OR(B7="",C7="",D7="",E7="",F7="",G7=""),"信息不完整",IF(COUNTIFS($A$6:$A$105,A7,$B$6:$B$105,B7,$E$6:$E$105,E7)&gt;1,"顺位重复",IF(COUNTIFS($A$6:$A$105,A7,$B$6:$B$105,B7,$C$6:$C$105,C7)&gt;1,"渠道重复","待系统验证")))))</f>
        <v>待系统验证</v>
      </c>
    </row>
    <row r="8" ht="31" customHeight="1">
      <c r="A8" s="9" t="inlineStr">
        <is>
          <t>gemini-4-argon</t>
        </is>
      </c>
      <c r="B8" s="9" t="inlineStr">
        <is>
          <t>测试</t>
        </is>
      </c>
      <c r="C8" s="9" t="inlineStr">
        <is>
          <t>AIHubMix Gemini</t>
        </is>
      </c>
      <c r="D8" s="9" t="inlineStr">
        <is>
          <t>gemini-4-argon</t>
        </is>
      </c>
      <c r="E8" s="12" t="n">
        <v>1</v>
      </c>
      <c r="F8" s="11" t="inlineStr">
        <is>
          <t>停用</t>
        </is>
      </c>
      <c r="G8" s="9" t="inlineStr">
        <is>
          <t>尝试下一顺位</t>
        </is>
      </c>
      <c r="H8" s="9" t="inlineStr">
        <is>
          <t>隐式缓存投影与渠道验证尚未完成</t>
        </is>
      </c>
      <c r="I8" s="10" t="str">
        <f>IF(A8="","",IF(COUNTIF('模型清单'!$B$6:$B$105,A8)=0,"模型未登记",IF(OR(B8="",C8="",D8="",E8="",F8="",G8=""),"信息不完整",IF(COUNTIFS($A$6:$A$105,A8,$B$6:$B$105,B8,$E$6:$E$105,E8)&gt;1,"顺位重复",IF(COUNTIFS($A$6:$A$105,A8,$B$6:$B$105,B8,$C$6:$C$105,C8)&gt;1,"渠道重复","待系统验证")))))</f>
        <v>待系统验证</v>
      </c>
    </row>
    <row r="9" ht="31" customHeight="1">
      <c r="A9" s="9" t="inlineStr">
        <is>
          <t>gemini-4-argon</t>
        </is>
      </c>
      <c r="B9" s="9" t="inlineStr">
        <is>
          <t>测试</t>
        </is>
      </c>
      <c r="C9" s="9" t="inlineStr">
        <is>
          <t>Google 官方（规划）</t>
        </is>
      </c>
      <c r="D9" s="9" t="inlineStr">
        <is>
          <t>gemini-4-argon</t>
        </is>
      </c>
      <c r="E9" s="12" t="n">
        <v>2</v>
      </c>
      <c r="F9" s="11" t="inlineStr">
        <is>
          <t>停用</t>
        </is>
      </c>
      <c r="G9" s="9" t="inlineStr">
        <is>
          <t>拒绝新会话</t>
        </is>
      </c>
      <c r="H9" s="9" t="inlineStr">
        <is>
          <t>仅演示备用顺位；该渠道尚未接入</t>
        </is>
      </c>
      <c r="I9" s="10" t="str">
        <f>IF(A9="","",IF(COUNTIF('模型清单'!$B$6:$B$105,A9)=0,"模型未登记",IF(OR(B9="",C9="",D9="",E9="",F9="",G9=""),"信息不完整",IF(COUNTIFS($A$6:$A$105,A9,$B$6:$B$105,B9,$E$6:$E$105,E9)&gt;1,"顺位重复",IF(COUNTIFS($A$6:$A$105,A9,$B$6:$B$105,B9,$C$6:$C$105,C9)&gt;1,"渠道重复","待系统验证")))))</f>
        <v>待系统验证</v>
      </c>
    </row>
    <row r="10" ht="31" customHeight="1">
      <c r="A10" s="9" t="inlineStr">
        <is>
          <t>gpt-6-astra</t>
        </is>
      </c>
      <c r="B10" s="9" t="inlineStr">
        <is>
          <t>测试</t>
        </is>
      </c>
      <c r="C10" s="9" t="inlineStr">
        <is>
          <t>OpenAI 官方（规划）</t>
        </is>
      </c>
      <c r="D10" s="9" t="inlineStr">
        <is>
          <t>gpt-6-astra</t>
        </is>
      </c>
      <c r="E10" s="12" t="n">
        <v>1</v>
      </c>
      <c r="F10" s="11" t="inlineStr">
        <is>
          <t>停用</t>
        </is>
      </c>
      <c r="G10" s="9" t="inlineStr">
        <is>
          <t>尝试下一顺位</t>
        </is>
      </c>
      <c r="H10" s="9" t="inlineStr">
        <is>
          <t>仅候选，渠道未登记/未认证；不可仅凭模型列表启用。</t>
        </is>
      </c>
      <c r="I10" s="10" t="str">
        <f>IF(A10="","",IF(COUNTIF('模型清单'!$B$6:$B$105,A10)=0,"模型未登记",IF(OR(B10="",C10="",D10="",E10="",F10="",G10=""),"信息不完整",IF(COUNTIFS($A$6:$A$105,A10,$B$6:$B$105,B10,$E$6:$E$105,E10)&gt;1,"顺位重复",IF(COUNTIFS($A$6:$A$105,A10,$B$6:$B$105,B10,$C$6:$C$105,C10)&gt;1,"渠道重复","待系统验证")))))</f>
        <v>待系统验证</v>
      </c>
    </row>
    <row r="11" ht="31" customHeight="1">
      <c r="A11" s="9" t="inlineStr">
        <is>
          <t>gpt-6-sol</t>
        </is>
      </c>
      <c r="B11" s="9" t="inlineStr">
        <is>
          <t>测试</t>
        </is>
      </c>
      <c r="C11" s="9" t="inlineStr">
        <is>
          <t>OpenAI 官方（规划）</t>
        </is>
      </c>
      <c r="D11" s="9" t="inlineStr">
        <is>
          <t>gpt-6-sol</t>
        </is>
      </c>
      <c r="E11" s="12" t="n">
        <v>1</v>
      </c>
      <c r="F11" s="11" t="inlineStr">
        <is>
          <t>停用</t>
        </is>
      </c>
      <c r="G11" s="9" t="inlineStr">
        <is>
          <t>尝试下一顺位</t>
        </is>
      </c>
      <c r="H11" s="9" t="inlineStr">
        <is>
          <t>仅候选，渠道未登记/未认证；不可仅凭模型列表启用。</t>
        </is>
      </c>
      <c r="I11" s="10" t="str">
        <f>IF(A11="","",IF(COUNTIF('模型清单'!$B$6:$B$105,A11)=0,"模型未登记",IF(OR(B11="",C11="",D11="",E11="",F11="",G11=""),"信息不完整",IF(COUNTIFS($A$6:$A$105,A11,$B$6:$B$105,B11,$E$6:$E$105,E11)&gt;1,"顺位重复",IF(COUNTIFS($A$6:$A$105,A11,$B$6:$B$105,B11,$C$6:$C$105,C11)&gt;1,"渠道重复","待系统验证")))))</f>
        <v>待系统验证</v>
      </c>
    </row>
    <row r="12" ht="31" customHeight="1">
      <c r="A12" s="9" t="inlineStr">
        <is>
          <t>gpt-6-luna</t>
        </is>
      </c>
      <c r="B12" s="9" t="inlineStr">
        <is>
          <t>测试</t>
        </is>
      </c>
      <c r="C12" s="9" t="inlineStr">
        <is>
          <t>OpenAI 官方（规划）</t>
        </is>
      </c>
      <c r="D12" s="9" t="inlineStr">
        <is>
          <t>gpt-6-luna</t>
        </is>
      </c>
      <c r="E12" s="12" t="n">
        <v>1</v>
      </c>
      <c r="F12" s="11" t="inlineStr">
        <is>
          <t>停用</t>
        </is>
      </c>
      <c r="G12" s="9" t="inlineStr">
        <is>
          <t>尝试下一顺位</t>
        </is>
      </c>
      <c r="H12" s="9" t="inlineStr">
        <is>
          <t>仅候选，渠道未登记/未认证；不可仅凭模型列表启用。</t>
        </is>
      </c>
      <c r="I12" s="10" t="str">
        <f>IF(A12="","",IF(COUNTIF('模型清单'!$B$6:$B$105,A12)=0,"模型未登记",IF(OR(B12="",C12="",D12="",E12="",F12="",G12=""),"信息不完整",IF(COUNTIFS($A$6:$A$105,A12,$B$6:$B$105,B12,$E$6:$E$105,E12)&gt;1,"顺位重复",IF(COUNTIFS($A$6:$A$105,A12,$B$6:$B$105,B12,$C$6:$C$105,C12)&gt;1,"渠道重复","待系统验证")))))</f>
        <v>待系统验证</v>
      </c>
    </row>
    <row r="13" ht="31" customHeight="1">
      <c r="A13" s="9" t="inlineStr">
        <is>
          <t>gpt-6.1-terra</t>
        </is>
      </c>
      <c r="B13" s="9" t="inlineStr">
        <is>
          <t>测试</t>
        </is>
      </c>
      <c r="C13" s="9" t="inlineStr">
        <is>
          <t>OpenAI 官方（规划）</t>
        </is>
      </c>
      <c r="D13" s="9" t="inlineStr">
        <is>
          <t>gpt-6.1-terra</t>
        </is>
      </c>
      <c r="E13" s="12" t="n">
        <v>1</v>
      </c>
      <c r="F13" s="11" t="inlineStr">
        <is>
          <t>停用</t>
        </is>
      </c>
      <c r="G13" s="9" t="inlineStr">
        <is>
          <t>尝试下一顺位</t>
        </is>
      </c>
      <c r="H13" s="9" t="inlineStr">
        <is>
          <t>仅候选，渠道未登记/未认证；不可仅凭模型列表启用。</t>
        </is>
      </c>
      <c r="I13" s="10" t="str">
        <f>IF(A13="","",IF(COUNTIF('模型清单'!$B$6:$B$105,A13)=0,"模型未登记",IF(OR(B13="",C13="",D13="",E13="",F13="",G13=""),"信息不完整",IF(COUNTIFS($A$6:$A$105,A13,$B$6:$B$105,B13,$E$6:$E$105,E13)&gt;1,"顺位重复",IF(COUNTIFS($A$6:$A$105,A13,$B$6:$B$105,B13,$C$6:$C$105,C13)&gt;1,"渠道重复","待系统验证")))))</f>
        <v>待系统验证</v>
      </c>
    </row>
    <row r="14" ht="31" customHeight="1">
      <c r="A14" s="9" t="inlineStr">
        <is>
          <t>gpt-5.5</t>
        </is>
      </c>
      <c r="B14" s="9" t="inlineStr">
        <is>
          <t>测试</t>
        </is>
      </c>
      <c r="C14" s="9" t="inlineStr">
        <is>
          <t>OpenAI 官方（规划）</t>
        </is>
      </c>
      <c r="D14" s="9" t="inlineStr">
        <is>
          <t>gpt-5.5</t>
        </is>
      </c>
      <c r="E14" s="12" t="n">
        <v>1</v>
      </c>
      <c r="F14" s="11" t="inlineStr">
        <is>
          <t>停用</t>
        </is>
      </c>
      <c r="G14" s="9" t="inlineStr">
        <is>
          <t>尝试下一顺位</t>
        </is>
      </c>
      <c r="H14" s="9" t="inlineStr">
        <is>
          <t>仅候选，渠道未登记/未认证；API 模型仍应核对实际账户可用性</t>
        </is>
      </c>
      <c r="I14" s="10" t="str">
        <f>IF(A14="","",IF(COUNTIF('模型清单'!$B$6:$B$105,A14)=0,"模型未登记",IF(OR(B14="",C14="",D14="",E14="",F14="",G14=""),"信息不完整",IF(COUNTIFS($A$6:$A$105,A14,$B$6:$B$105,B14,$E$6:$E$105,E14)&gt;1,"顺位重复",IF(COUNTIFS($A$6:$A$105,A14,$B$6:$B$105,B14,$C$6:$C$105,C14)&gt;1,"渠道重复","待系统验证")))))</f>
        <v>待系统验证</v>
      </c>
    </row>
    <row r="15" ht="31" customHeight="1">
      <c r="A15" s="9" t="inlineStr">
        <is>
          <t>claude-fable-5-1</t>
        </is>
      </c>
      <c r="B15" s="9" t="inlineStr">
        <is>
          <t>测试</t>
        </is>
      </c>
      <c r="C15" s="9" t="inlineStr">
        <is>
          <t>Anthropic 官方（规划）</t>
        </is>
      </c>
      <c r="D15" s="9" t="inlineStr">
        <is>
          <t>claude-fable-5-1</t>
        </is>
      </c>
      <c r="E15" s="12" t="n">
        <v>1</v>
      </c>
      <c r="F15" s="11" t="inlineStr">
        <is>
          <t>停用</t>
        </is>
      </c>
      <c r="G15" s="9" t="inlineStr">
        <is>
          <t>尝试下一顺位</t>
        </is>
      </c>
      <c r="H15" s="9" t="inlineStr">
        <is>
          <t>仅候选，渠道未登记/未认证；不可仅凭模型列表启用。</t>
        </is>
      </c>
      <c r="I15" s="10" t="str">
        <f>IF(A15="","",IF(COUNTIF('模型清单'!$B$6:$B$105,A15)=0,"模型未登记",IF(OR(B15="",C15="",D15="",E15="",F15="",G15=""),"信息不完整",IF(COUNTIFS($A$6:$A$105,A15,$B$6:$B$105,B15,$E$6:$E$105,E15)&gt;1,"顺位重复",IF(COUNTIFS($A$6:$A$105,A15,$B$6:$B$105,B15,$C$6:$C$105,C15)&gt;1,"渠道重复","待系统验证")))))</f>
        <v>待系统验证</v>
      </c>
    </row>
    <row r="16" ht="31" customHeight="1">
      <c r="A16" s="9" t="inlineStr">
        <is>
          <t>claude-opus-5-5</t>
        </is>
      </c>
      <c r="B16" s="9" t="inlineStr">
        <is>
          <t>测试</t>
        </is>
      </c>
      <c r="C16" s="9" t="inlineStr">
        <is>
          <t>Anthropic 官方（规划）</t>
        </is>
      </c>
      <c r="D16" s="9" t="inlineStr">
        <is>
          <t>claude-opus-5-5</t>
        </is>
      </c>
      <c r="E16" s="12" t="n">
        <v>1</v>
      </c>
      <c r="F16" s="11" t="inlineStr">
        <is>
          <t>停用</t>
        </is>
      </c>
      <c r="G16" s="9" t="inlineStr">
        <is>
          <t>尝试下一顺位</t>
        </is>
      </c>
      <c r="H16" s="9" t="inlineStr">
        <is>
          <t>仅候选，渠道未登记/未认证；不可仅凭模型列表启用。</t>
        </is>
      </c>
      <c r="I16" s="10" t="str">
        <f>IF(A16="","",IF(COUNTIF('模型清单'!$B$6:$B$105,A16)=0,"模型未登记",IF(OR(B16="",C16="",D16="",E16="",F16="",G16=""),"信息不完整",IF(COUNTIFS($A$6:$A$105,A16,$B$6:$B$105,B16,$E$6:$E$105,E16)&gt;1,"顺位重复",IF(COUNTIFS($A$6:$A$105,A16,$B$6:$B$105,B16,$C$6:$C$105,C16)&gt;1,"渠道重复","待系统验证")))))</f>
        <v>待系统验证</v>
      </c>
    </row>
    <row r="17" ht="31" customHeight="1">
      <c r="A17" s="9" t="inlineStr">
        <is>
          <t>claude-sonnet-5-5</t>
        </is>
      </c>
      <c r="B17" s="9" t="inlineStr">
        <is>
          <t>测试</t>
        </is>
      </c>
      <c r="C17" s="9" t="inlineStr">
        <is>
          <t>Anthropic 官方（规划）</t>
        </is>
      </c>
      <c r="D17" s="9" t="inlineStr">
        <is>
          <t>claude-sonnet-5-5</t>
        </is>
      </c>
      <c r="E17" s="12" t="n">
        <v>1</v>
      </c>
      <c r="F17" s="11" t="inlineStr">
        <is>
          <t>停用</t>
        </is>
      </c>
      <c r="G17" s="9" t="inlineStr">
        <is>
          <t>尝试下一顺位</t>
        </is>
      </c>
      <c r="H17" s="9" t="inlineStr">
        <is>
          <t>仅候选，渠道未登记/未认证；不可仅凭模型列表启用。</t>
        </is>
      </c>
      <c r="I17" s="10" t="str">
        <f>IF(A17="","",IF(COUNTIF('模型清单'!$B$6:$B$105,A17)=0,"模型未登记",IF(OR(B17="",C17="",D17="",E17="",F17="",G17=""),"信息不完整",IF(COUNTIFS($A$6:$A$105,A17,$B$6:$B$105,B17,$E$6:$E$105,E17)&gt;1,"顺位重复",IF(COUNTIFS($A$6:$A$105,A17,$B$6:$B$105,B17,$C$6:$C$105,C17)&gt;1,"渠道重复","待系统验证")))))</f>
        <v>待系统验证</v>
      </c>
    </row>
    <row r="18" ht="31" customHeight="1">
      <c r="A18" s="9" t="inlineStr">
        <is>
          <t>claude-haiku-5-5</t>
        </is>
      </c>
      <c r="B18" s="9" t="inlineStr">
        <is>
          <t>测试</t>
        </is>
      </c>
      <c r="C18" s="9" t="inlineStr">
        <is>
          <t>Anthropic 官方（规划）</t>
        </is>
      </c>
      <c r="D18" s="9" t="inlineStr">
        <is>
          <t>claude-haiku-5-5</t>
        </is>
      </c>
      <c r="E18" s="12" t="n">
        <v>1</v>
      </c>
      <c r="F18" s="11" t="inlineStr">
        <is>
          <t>停用</t>
        </is>
      </c>
      <c r="G18" s="9" t="inlineStr">
        <is>
          <t>尝试下一顺位</t>
        </is>
      </c>
      <c r="H18" s="9" t="inlineStr">
        <is>
          <t>仅候选，渠道未登记/未认证；不可仅凭模型列表启用。</t>
        </is>
      </c>
      <c r="I18" s="10" t="str">
        <f>IF(A18="","",IF(COUNTIF('模型清单'!$B$6:$B$105,A18)=0,"模型未登记",IF(OR(B18="",C18="",D18="",E18="",F18="",G18=""),"信息不完整",IF(COUNTIFS($A$6:$A$105,A18,$B$6:$B$105,B18,$E$6:$E$105,E18)&gt;1,"顺位重复",IF(COUNTIFS($A$6:$A$105,A18,$B$6:$B$105,B18,$C$6:$C$105,C18)&gt;1,"渠道重复","待系统验证")))))</f>
        <v>待系统验证</v>
      </c>
    </row>
    <row r="19" ht="31" customHeight="1">
      <c r="A19" s="9" t="inlineStr">
        <is>
          <t>gemini-3.8-flash</t>
        </is>
      </c>
      <c r="B19" s="9" t="inlineStr">
        <is>
          <t>测试</t>
        </is>
      </c>
      <c r="C19" s="9" t="inlineStr">
        <is>
          <t>Google 官方（规划）</t>
        </is>
      </c>
      <c r="D19" s="9" t="inlineStr">
        <is>
          <t>gemini-3.8-flash</t>
        </is>
      </c>
      <c r="E19" s="12" t="n">
        <v>1</v>
      </c>
      <c r="F19" s="11" t="inlineStr">
        <is>
          <t>停用</t>
        </is>
      </c>
      <c r="G19" s="9" t="inlineStr">
        <is>
          <t>尝试下一顺位</t>
        </is>
      </c>
      <c r="H19" s="9" t="inlineStr">
        <is>
          <t>仅候选，渠道未登记/未认证；不可仅凭模型列表启用。</t>
        </is>
      </c>
      <c r="I19" s="10" t="str">
        <f>IF(A19="","",IF(COUNTIF('模型清单'!$B$6:$B$105,A19)=0,"模型未登记",IF(OR(B19="",C19="",D19="",E19="",F19="",G19=""),"信息不完整",IF(COUNTIFS($A$6:$A$105,A19,$B$6:$B$105,B19,$E$6:$E$105,E19)&gt;1,"顺位重复",IF(COUNTIFS($A$6:$A$105,A19,$B$6:$B$105,B19,$C$6:$C$105,C19)&gt;1,"渠道重复","待系统验证")))))</f>
        <v>待系统验证</v>
      </c>
    </row>
    <row r="20" ht="31" customHeight="1">
      <c r="A20" s="9" t="inlineStr">
        <is>
          <t>gemini-3.5-flash-lite</t>
        </is>
      </c>
      <c r="B20" s="9" t="inlineStr">
        <is>
          <t>测试</t>
        </is>
      </c>
      <c r="C20" s="9" t="inlineStr">
        <is>
          <t>Google 官方（规划）</t>
        </is>
      </c>
      <c r="D20" s="9" t="inlineStr">
        <is>
          <t>gemini-3.5-flash-lite</t>
        </is>
      </c>
      <c r="E20" s="12" t="n">
        <v>1</v>
      </c>
      <c r="F20" s="11" t="inlineStr">
        <is>
          <t>停用</t>
        </is>
      </c>
      <c r="G20" s="9" t="inlineStr">
        <is>
          <t>尝试下一顺位</t>
        </is>
      </c>
      <c r="H20" s="9" t="inlineStr">
        <is>
          <t>仅候选，渠道未登记/未认证；不可仅凭模型列表启用。</t>
        </is>
      </c>
      <c r="I20" s="10" t="str">
        <f>IF(A20="","",IF(COUNTIF('模型清单'!$B$6:$B$105,A20)=0,"模型未登记",IF(OR(B20="",C20="",D20="",E20="",F20="",G20=""),"信息不完整",IF(COUNTIFS($A$6:$A$105,A20,$B$6:$B$105,B20,$E$6:$E$105,E20)&gt;1,"顺位重复",IF(COUNTIFS($A$6:$A$105,A20,$B$6:$B$105,B20,$C$6:$C$105,C20)&gt;1,"渠道重复","待系统验证")))))</f>
        <v>待系统验证</v>
      </c>
    </row>
    <row r="21" ht="31" customHeight="1">
      <c r="A21" s="9" t="inlineStr">
        <is>
          <t>gemini-3.1-flash-lite</t>
        </is>
      </c>
      <c r="B21" s="9" t="inlineStr">
        <is>
          <t>测试</t>
        </is>
      </c>
      <c r="C21" s="9" t="inlineStr">
        <is>
          <t>Google 官方（规划）</t>
        </is>
      </c>
      <c r="D21" s="9" t="inlineStr">
        <is>
          <t>gemini-3.1-flash-lite</t>
        </is>
      </c>
      <c r="E21" s="12" t="n">
        <v>1</v>
      </c>
      <c r="F21" s="11" t="inlineStr">
        <is>
          <t>停用</t>
        </is>
      </c>
      <c r="G21" s="9" t="inlineStr">
        <is>
          <t>尝试下一顺位</t>
        </is>
      </c>
      <c r="H21" s="9" t="inlineStr">
        <is>
          <t>仅候选，渠道未登记/未认证；不可仅凭模型列表启用。</t>
        </is>
      </c>
      <c r="I21" s="10" t="str">
        <f>IF(A21="","",IF(COUNTIF('模型清单'!$B$6:$B$105,A21)=0,"模型未登记",IF(OR(B21="",C21="",D21="",E21="",F21="",G21=""),"信息不完整",IF(COUNTIFS($A$6:$A$105,A21,$B$6:$B$105,B21,$E$6:$E$105,E21)&gt;1,"顺位重复",IF(COUNTIFS($A$6:$A$105,A21,$B$6:$B$105,B21,$C$6:$C$105,C21)&gt;1,"渠道重复","待系统验证")))))</f>
        <v>待系统验证</v>
      </c>
    </row>
    <row r="22" ht="31" customHeight="1">
      <c r="A22" s="9" t="inlineStr">
        <is>
          <t>qwen3.8-max</t>
        </is>
      </c>
      <c r="B22" s="9" t="inlineStr">
        <is>
          <t>测试</t>
        </is>
      </c>
      <c r="C22" s="9" t="inlineStr">
        <is>
          <t>阿里云百炼（规划）</t>
        </is>
      </c>
      <c r="D22" s="9" t="inlineStr">
        <is>
          <t>qwen3.8-max</t>
        </is>
      </c>
      <c r="E22" s="12" t="n">
        <v>1</v>
      </c>
      <c r="F22" s="11" t="inlineStr">
        <is>
          <t>停用</t>
        </is>
      </c>
      <c r="G22" s="9" t="inlineStr">
        <is>
          <t>尝试下一顺位</t>
        </is>
      </c>
      <c r="H22" s="9" t="inlineStr">
        <is>
          <t>仅候选，渠道未登记/未认证；不可仅凭模型列表启用。</t>
        </is>
      </c>
      <c r="I22" s="10" t="str">
        <f>IF(A22="","",IF(COUNTIF('模型清单'!$B$6:$B$105,A22)=0,"模型未登记",IF(OR(B22="",C22="",D22="",E22="",F22="",G22=""),"信息不完整",IF(COUNTIFS($A$6:$A$105,A22,$B$6:$B$105,B22,$E$6:$E$105,E22)&gt;1,"顺位重复",IF(COUNTIFS($A$6:$A$105,A22,$B$6:$B$105,B22,$C$6:$C$105,C22)&gt;1,"渠道重复","待系统验证")))))</f>
        <v>待系统验证</v>
      </c>
    </row>
    <row r="23" ht="31" customHeight="1">
      <c r="A23" s="9" t="inlineStr">
        <is>
          <t>qwen3.8-flash</t>
        </is>
      </c>
      <c r="B23" s="9" t="inlineStr">
        <is>
          <t>测试</t>
        </is>
      </c>
      <c r="C23" s="9" t="inlineStr">
        <is>
          <t>阿里云百炼（规划）</t>
        </is>
      </c>
      <c r="D23" s="9" t="inlineStr">
        <is>
          <t>qwen3.8-flash</t>
        </is>
      </c>
      <c r="E23" s="12" t="n">
        <v>1</v>
      </c>
      <c r="F23" s="11" t="inlineStr">
        <is>
          <t>停用</t>
        </is>
      </c>
      <c r="G23" s="9" t="inlineStr">
        <is>
          <t>尝试下一顺位</t>
        </is>
      </c>
      <c r="H23" s="9" t="inlineStr">
        <is>
          <t>仅候选，渠道未登记/未认证；不可仅凭模型列表启用。</t>
        </is>
      </c>
      <c r="I23" s="10" t="str">
        <f>IF(A23="","",IF(COUNTIF('模型清单'!$B$6:$B$105,A23)=0,"模型未登记",IF(OR(B23="",C23="",D23="",E23="",F23="",G23=""),"信息不完整",IF(COUNTIFS($A$6:$A$105,A23,$B$6:$B$105,B23,$E$6:$E$105,E23)&gt;1,"顺位重复",IF(COUNTIFS($A$6:$A$105,A23,$B$6:$B$105,B23,$C$6:$C$105,C23)&gt;1,"渠道重复","待系统验证")))))</f>
        <v>待系统验证</v>
      </c>
    </row>
    <row r="24" ht="31" customHeight="1">
      <c r="A24" s="9" t="inlineStr">
        <is>
          <t>qwen3.7-plus</t>
        </is>
      </c>
      <c r="B24" s="9" t="inlineStr">
        <is>
          <t>测试</t>
        </is>
      </c>
      <c r="C24" s="9" t="inlineStr">
        <is>
          <t>阿里云百炼（规划）</t>
        </is>
      </c>
      <c r="D24" s="9" t="inlineStr">
        <is>
          <t>qwen3.7-plus</t>
        </is>
      </c>
      <c r="E24" s="12" t="n">
        <v>1</v>
      </c>
      <c r="F24" s="11" t="inlineStr">
        <is>
          <t>停用</t>
        </is>
      </c>
      <c r="G24" s="9" t="inlineStr">
        <is>
          <t>尝试下一顺位</t>
        </is>
      </c>
      <c r="H24" s="9" t="inlineStr">
        <is>
          <t>仅候选，渠道未登记/未认证；不可仅凭模型列表启用。</t>
        </is>
      </c>
      <c r="I24" s="10" t="str">
        <f>IF(A24="","",IF(COUNTIF('模型清单'!$B$6:$B$105,A24)=0,"模型未登记",IF(OR(B24="",C24="",D24="",E24="",F24="",G24=""),"信息不完整",IF(COUNTIFS($A$6:$A$105,A24,$B$6:$B$105,B24,$E$6:$E$105,E24)&gt;1,"顺位重复",IF(COUNTIFS($A$6:$A$105,A24,$B$6:$B$105,B24,$C$6:$C$105,C24)&gt;1,"渠道重复","待系统验证")))))</f>
        <v>待系统验证</v>
      </c>
    </row>
    <row r="25" ht="31" customHeight="1">
      <c r="A25" s="9" t="inlineStr">
        <is>
          <t>qwen3.6-plus</t>
        </is>
      </c>
      <c r="B25" s="9" t="inlineStr">
        <is>
          <t>测试</t>
        </is>
      </c>
      <c r="C25" s="9" t="inlineStr">
        <is>
          <t>阿里云百炼（规划）</t>
        </is>
      </c>
      <c r="D25" s="9" t="inlineStr">
        <is>
          <t>qwen3.6-plus</t>
        </is>
      </c>
      <c r="E25" s="12" t="n">
        <v>1</v>
      </c>
      <c r="F25" s="11" t="inlineStr">
        <is>
          <t>停用</t>
        </is>
      </c>
      <c r="G25" s="9" t="inlineStr">
        <is>
          <t>尝试下一顺位</t>
        </is>
      </c>
      <c r="H25" s="9" t="inlineStr">
        <is>
          <t>仅候选，渠道未登记/未认证；不可仅凭模型列表启用。</t>
        </is>
      </c>
      <c r="I25" s="10" t="str">
        <f>IF(A25="","",IF(COUNTIF('模型清单'!$B$6:$B$105,A25)=0,"模型未登记",IF(OR(B25="",C25="",D25="",E25="",F25="",G25=""),"信息不完整",IF(COUNTIFS($A$6:$A$105,A25,$B$6:$B$105,B25,$E$6:$E$105,E25)&gt;1,"顺位重复",IF(COUNTIFS($A$6:$A$105,A25,$B$6:$B$105,B25,$C$6:$C$105,C25)&gt;1,"渠道重复","待系统验证")))))</f>
        <v>待系统验证</v>
      </c>
    </row>
    <row r="26" ht="31" customHeight="1">
      <c r="A26" s="9" t="inlineStr">
        <is>
          <t>qwen3.5-plus</t>
        </is>
      </c>
      <c r="B26" s="9" t="inlineStr">
        <is>
          <t>测试</t>
        </is>
      </c>
      <c r="C26" s="9" t="inlineStr">
        <is>
          <t>阿里云百炼（规划）</t>
        </is>
      </c>
      <c r="D26" s="9" t="inlineStr">
        <is>
          <t>qwen3.5-plus</t>
        </is>
      </c>
      <c r="E26" s="12" t="n">
        <v>1</v>
      </c>
      <c r="F26" s="11" t="inlineStr">
        <is>
          <t>停用</t>
        </is>
      </c>
      <c r="G26" s="9" t="inlineStr">
        <is>
          <t>尝试下一顺位</t>
        </is>
      </c>
      <c r="H26" s="9" t="inlineStr">
        <is>
          <t>仅候选，渠道未登记/未认证；不可仅凭模型列表启用。</t>
        </is>
      </c>
      <c r="I26" s="10" t="str">
        <f>IF(A26="","",IF(COUNTIF('模型清单'!$B$6:$B$105,A26)=0,"模型未登记",IF(OR(B26="",C26="",D26="",E26="",F26="",G26=""),"信息不完整",IF(COUNTIFS($A$6:$A$105,A26,$B$6:$B$105,B26,$E$6:$E$105,E26)&gt;1,"顺位重复",IF(COUNTIFS($A$6:$A$105,A26,$B$6:$B$105,B26,$C$6:$C$105,C26)&gt;1,"渠道重复","待系统验证")))))</f>
        <v>待系统验证</v>
      </c>
    </row>
    <row r="27" ht="31" customHeight="1">
      <c r="A27" s="9" t="inlineStr">
        <is>
          <t>qwen3-coder-flash</t>
        </is>
      </c>
      <c r="B27" s="9" t="inlineStr">
        <is>
          <t>测试</t>
        </is>
      </c>
      <c r="C27" s="9" t="inlineStr">
        <is>
          <t>阿里云百炼（规划）</t>
        </is>
      </c>
      <c r="D27" s="9" t="inlineStr">
        <is>
          <t>qwen3-coder-flash</t>
        </is>
      </c>
      <c r="E27" s="12" t="n">
        <v>1</v>
      </c>
      <c r="F27" s="11" t="inlineStr">
        <is>
          <t>停用</t>
        </is>
      </c>
      <c r="G27" s="9" t="inlineStr">
        <is>
          <t>尝试下一顺位</t>
        </is>
      </c>
      <c r="H27" s="9" t="inlineStr">
        <is>
          <t>仅候选，渠道未登记/未认证；不可仅凭模型列表启用。</t>
        </is>
      </c>
      <c r="I27" s="10" t="str">
        <f>IF(A27="","",IF(COUNTIF('模型清单'!$B$6:$B$105,A27)=0,"模型未登记",IF(OR(B27="",C27="",D27="",E27="",F27="",G27=""),"信息不完整",IF(COUNTIFS($A$6:$A$105,A27,$B$6:$B$105,B27,$E$6:$E$105,E27)&gt;1,"顺位重复",IF(COUNTIFS($A$6:$A$105,A27,$B$6:$B$105,B27,$C$6:$C$105,C27)&gt;1,"渠道重复","待系统验证")))))</f>
        <v>待系统验证</v>
      </c>
    </row>
    <row r="28" ht="31" customHeight="1">
      <c r="A28" s="9" t="inlineStr">
        <is>
          <t>deepseek-v4-pro</t>
        </is>
      </c>
      <c r="B28" s="9" t="inlineStr">
        <is>
          <t>测试</t>
        </is>
      </c>
      <c r="C28" s="9" t="inlineStr">
        <is>
          <t>DeepSeek 官方（规划）</t>
        </is>
      </c>
      <c r="D28" s="9" t="inlineStr">
        <is>
          <t>deepseek-v4-pro</t>
        </is>
      </c>
      <c r="E28" s="12" t="n">
        <v>1</v>
      </c>
      <c r="F28" s="11" t="inlineStr">
        <is>
          <t>停用</t>
        </is>
      </c>
      <c r="G28" s="9" t="inlineStr">
        <is>
          <t>尝试下一顺位</t>
        </is>
      </c>
      <c r="H28" s="9" t="inlineStr">
        <is>
          <t>仅候选，渠道未登记/未认证；不可仅凭模型列表启用。</t>
        </is>
      </c>
      <c r="I28" s="10" t="str">
        <f>IF(A28="","",IF(COUNTIF('模型清单'!$B$6:$B$105,A28)=0,"模型未登记",IF(OR(B28="",C28="",D28="",E28="",F28="",G28=""),"信息不完整",IF(COUNTIFS($A$6:$A$105,A28,$B$6:$B$105,B28,$E$6:$E$105,E28)&gt;1,"顺位重复",IF(COUNTIFS($A$6:$A$105,A28,$B$6:$B$105,B28,$C$6:$C$105,C28)&gt;1,"渠道重复","待系统验证")))))</f>
        <v>待系统验证</v>
      </c>
    </row>
    <row r="29" ht="31" customHeight="1">
      <c r="A29" s="9" t="inlineStr">
        <is>
          <t>deepseek-flash</t>
        </is>
      </c>
      <c r="B29" s="9" t="inlineStr">
        <is>
          <t>测试</t>
        </is>
      </c>
      <c r="C29" s="9" t="inlineStr">
        <is>
          <t>DeepSeek 官方（规划）</t>
        </is>
      </c>
      <c r="D29" s="9" t="inlineStr">
        <is>
          <t>deepseek-flash</t>
        </is>
      </c>
      <c r="E29" s="12" t="n">
        <v>1</v>
      </c>
      <c r="F29" s="11" t="inlineStr">
        <is>
          <t>停用</t>
        </is>
      </c>
      <c r="G29" s="9" t="inlineStr">
        <is>
          <t>尝试下一顺位</t>
        </is>
      </c>
      <c r="H29" s="9" t="inlineStr">
        <is>
          <t>仅候选，渠道未登记/未认证；官方文档现行 API 名称；不要继续使用已停用的 deepseek-chat</t>
        </is>
      </c>
      <c r="I29" s="10" t="str">
        <f>IF(A29="","",IF(COUNTIF('模型清单'!$B$6:$B$105,A29)=0,"模型未登记",IF(OR(B29="",C29="",D29="",E29="",F29="",G29=""),"信息不完整",IF(COUNTIFS($A$6:$A$105,A29,$B$6:$B$105,B29,$E$6:$E$105,E29)&gt;1,"顺位重复",IF(COUNTIFS($A$6:$A$105,A29,$B$6:$B$105,B29,$C$6:$C$105,C29)&gt;1,"渠道重复","待系统验证")))))</f>
        <v>待系统验证</v>
      </c>
    </row>
    <row r="30" ht="31" customHeight="1">
      <c r="A30" s="9" t="inlineStr">
        <is>
          <t>kimi-k2.6</t>
        </is>
      </c>
      <c r="B30" s="9" t="inlineStr">
        <is>
          <t>测试</t>
        </is>
      </c>
      <c r="C30" s="9" t="inlineStr">
        <is>
          <t>阿里云百炼 Kimi（规划）</t>
        </is>
      </c>
      <c r="D30" s="9" t="inlineStr">
        <is>
          <t>kimi-k2.6</t>
        </is>
      </c>
      <c r="E30" s="12" t="n">
        <v>1</v>
      </c>
      <c r="F30" s="11" t="inlineStr">
        <is>
          <t>停用</t>
        </is>
      </c>
      <c r="G30" s="9" t="inlineStr">
        <is>
          <t>尝试下一顺位</t>
        </is>
      </c>
      <c r="H30" s="9" t="inlineStr">
        <is>
          <t>仅候选，渠道未登记/未认证；该 ID 来自百炼模型列表，非 Moonshot 官方渠道认证</t>
        </is>
      </c>
      <c r="I30" s="10" t="str">
        <f>IF(A30="","",IF(COUNTIF('模型清单'!$B$6:$B$105,A30)=0,"模型未登记",IF(OR(B30="",C30="",D30="",E30="",F30="",G30=""),"信息不完整",IF(COUNTIFS($A$6:$A$105,A30,$B$6:$B$105,B30,$E$6:$E$105,E30)&gt;1,"顺位重复",IF(COUNTIFS($A$6:$A$105,A30,$B$6:$B$105,B30,$C$6:$C$105,C30)&gt;1,"渠道重复","待系统验证")))))</f>
        <v>待系统验证</v>
      </c>
    </row>
    <row r="31" ht="31" customHeight="1">
      <c r="A31" s="9" t="inlineStr">
        <is>
          <t>kimi-k2.5</t>
        </is>
      </c>
      <c r="B31" s="9" t="inlineStr">
        <is>
          <t>测试</t>
        </is>
      </c>
      <c r="C31" s="9" t="inlineStr">
        <is>
          <t>阿里云百炼 Kimi（规划）</t>
        </is>
      </c>
      <c r="D31" s="9" t="inlineStr">
        <is>
          <t>kimi-k2.5</t>
        </is>
      </c>
      <c r="E31" s="12" t="n">
        <v>1</v>
      </c>
      <c r="F31" s="11" t="inlineStr">
        <is>
          <t>停用</t>
        </is>
      </c>
      <c r="G31" s="9" t="inlineStr">
        <is>
          <t>尝试下一顺位</t>
        </is>
      </c>
      <c r="H31" s="9" t="inlineStr">
        <is>
          <t>仅候选，渠道未登记/未认证；该 ID 来自百炼模型列表，非 Moonshot 官方渠道认证</t>
        </is>
      </c>
      <c r="I31" s="10" t="str">
        <f>IF(A31="","",IF(COUNTIF('模型清单'!$B$6:$B$105,A31)=0,"模型未登记",IF(OR(B31="",C31="",D31="",E31="",F31="",G31=""),"信息不完整",IF(COUNTIFS($A$6:$A$105,A31,$B$6:$B$105,B31,$E$6:$E$105,E31)&gt;1,"顺位重复",IF(COUNTIFS($A$6:$A$105,A31,$B$6:$B$105,B31,$C$6:$C$105,C31)&gt;1,"渠道重复","待系统验证")))))</f>
        <v>待系统验证</v>
      </c>
    </row>
    <row r="32" ht="31" customHeight="1">
      <c r="A32" s="9" t="inlineStr">
        <is>
          <t>glm-5.3</t>
        </is>
      </c>
      <c r="B32" s="9" t="inlineStr">
        <is>
          <t>测试</t>
        </is>
      </c>
      <c r="C32" s="9" t="inlineStr">
        <is>
          <t>智谱官方（规划）</t>
        </is>
      </c>
      <c r="D32" s="9" t="inlineStr">
        <is>
          <t>glm-5.3</t>
        </is>
      </c>
      <c r="E32" s="12" t="n">
        <v>1</v>
      </c>
      <c r="F32" s="11" t="inlineStr">
        <is>
          <t>停用</t>
        </is>
      </c>
      <c r="G32" s="9" t="inlineStr">
        <is>
          <t>尝试下一顺位</t>
        </is>
      </c>
      <c r="H32" s="9" t="inlineStr">
        <is>
          <t>仅候选，渠道未登记/未认证；型号见 Mistral 第三方目录；智谱官方渠道尚未确认</t>
        </is>
      </c>
      <c r="I32" s="10" t="str">
        <f>IF(A32="","",IF(COUNTIF('模型清单'!$B$6:$B$105,A32)=0,"模型未登记",IF(OR(B32="",C32="",D32="",E32="",F32="",G32=""),"信息不完整",IF(COUNTIFS($A$6:$A$105,A32,$B$6:$B$105,B32,$E$6:$E$105,E32)&gt;1,"顺位重复",IF(COUNTIFS($A$6:$A$105,A32,$B$6:$B$105,B32,$C$6:$C$105,C32)&gt;1,"渠道重复","待系统验证")))))</f>
        <v>待系统验证</v>
      </c>
    </row>
    <row r="33" ht="31" customHeight="1">
      <c r="A33" s="9" t="inlineStr">
        <is>
          <t>glm-5.2</t>
        </is>
      </c>
      <c r="B33" s="9" t="inlineStr">
        <is>
          <t>测试</t>
        </is>
      </c>
      <c r="C33" s="9" t="inlineStr">
        <is>
          <t>智谱官方（规划）</t>
        </is>
      </c>
      <c r="D33" s="9" t="inlineStr">
        <is>
          <t>glm-5.2</t>
        </is>
      </c>
      <c r="E33" s="12" t="n">
        <v>1</v>
      </c>
      <c r="F33" s="11" t="inlineStr">
        <is>
          <t>停用</t>
        </is>
      </c>
      <c r="G33" s="9" t="inlineStr">
        <is>
          <t>尝试下一顺位</t>
        </is>
      </c>
      <c r="H33" s="9" t="inlineStr">
        <is>
          <t>仅候选，渠道未登记/未认证；型号需以实际渠道为准</t>
        </is>
      </c>
      <c r="I33" s="10" t="str">
        <f>IF(A33="","",IF(COUNTIF('模型清单'!$B$6:$B$105,A33)=0,"模型未登记",IF(OR(B33="",C33="",D33="",E33="",F33="",G33=""),"信息不完整",IF(COUNTIFS($A$6:$A$105,A33,$B$6:$B$105,B33,$E$6:$E$105,E33)&gt;1,"顺位重复",IF(COUNTIFS($A$6:$A$105,A33,$B$6:$B$105,B33,$C$6:$C$105,C33)&gt;1,"渠道重复","待系统验证")))))</f>
        <v>待系统验证</v>
      </c>
    </row>
    <row r="34" ht="31" customHeight="1">
      <c r="A34" s="9" t="inlineStr">
        <is>
          <t>MiniMax-M3</t>
        </is>
      </c>
      <c r="B34" s="9" t="inlineStr">
        <is>
          <t>测试</t>
        </is>
      </c>
      <c r="C34" s="9" t="inlineStr">
        <is>
          <t>MiniMax 官方（规划）</t>
        </is>
      </c>
      <c r="D34" s="9" t="inlineStr">
        <is>
          <t>MiniMax-M3</t>
        </is>
      </c>
      <c r="E34" s="12" t="n">
        <v>1</v>
      </c>
      <c r="F34" s="11" t="inlineStr">
        <is>
          <t>停用</t>
        </is>
      </c>
      <c r="G34" s="9" t="inlineStr">
        <is>
          <t>尝试下一顺位</t>
        </is>
      </c>
      <c r="H34" s="9" t="inlineStr">
        <is>
          <t>仅候选，渠道未登记/未认证；不可仅凭模型列表启用。</t>
        </is>
      </c>
      <c r="I34" s="10" t="str">
        <f>IF(A34="","",IF(COUNTIF('模型清单'!$B$6:$B$105,A34)=0,"模型未登记",IF(OR(B34="",C34="",D34="",E34="",F34="",G34=""),"信息不完整",IF(COUNTIFS($A$6:$A$105,A34,$B$6:$B$105,B34,$E$6:$E$105,E34)&gt;1,"顺位重复",IF(COUNTIFS($A$6:$A$105,A34,$B$6:$B$105,B34,$C$6:$C$105,C34)&gt;1,"渠道重复","待系统验证")))))</f>
        <v>待系统验证</v>
      </c>
    </row>
    <row r="35" ht="31" customHeight="1">
      <c r="A35" s="9" t="inlineStr">
        <is>
          <t>MiniMax-M2.7</t>
        </is>
      </c>
      <c r="B35" s="9" t="inlineStr">
        <is>
          <t>测试</t>
        </is>
      </c>
      <c r="C35" s="9" t="inlineStr">
        <is>
          <t>MiniMax 官方（规划）</t>
        </is>
      </c>
      <c r="D35" s="9" t="inlineStr">
        <is>
          <t>MiniMax-M2.7</t>
        </is>
      </c>
      <c r="E35" s="12" t="n">
        <v>1</v>
      </c>
      <c r="F35" s="11" t="inlineStr">
        <is>
          <t>停用</t>
        </is>
      </c>
      <c r="G35" s="9" t="inlineStr">
        <is>
          <t>尝试下一顺位</t>
        </is>
      </c>
      <c r="H35" s="9" t="inlineStr">
        <is>
          <t>仅候选，渠道未登记/未认证；不可仅凭模型列表启用。</t>
        </is>
      </c>
      <c r="I35" s="10" t="str">
        <f>IF(A35="","",IF(COUNTIF('模型清单'!$B$6:$B$105,A35)=0,"模型未登记",IF(OR(B35="",C35="",D35="",E35="",F35="",G35=""),"信息不完整",IF(COUNTIFS($A$6:$A$105,A35,$B$6:$B$105,B35,$E$6:$E$105,E35)&gt;1,"顺位重复",IF(COUNTIFS($A$6:$A$105,A35,$B$6:$B$105,B35,$C$6:$C$105,C35)&gt;1,"渠道重复","待系统验证")))))</f>
        <v>待系统验证</v>
      </c>
    </row>
    <row r="36" ht="31" customHeight="1">
      <c r="A36" s="9" t="inlineStr">
        <is>
          <t>MiniMax-M2.5</t>
        </is>
      </c>
      <c r="B36" s="9" t="inlineStr">
        <is>
          <t>测试</t>
        </is>
      </c>
      <c r="C36" s="9" t="inlineStr">
        <is>
          <t>MiniMax 官方（规划）</t>
        </is>
      </c>
      <c r="D36" s="9" t="inlineStr">
        <is>
          <t>MiniMax-M2.5</t>
        </is>
      </c>
      <c r="E36" s="12" t="n">
        <v>1</v>
      </c>
      <c r="F36" s="11" t="inlineStr">
        <is>
          <t>停用</t>
        </is>
      </c>
      <c r="G36" s="9" t="inlineStr">
        <is>
          <t>尝试下一顺位</t>
        </is>
      </c>
      <c r="H36" s="9" t="inlineStr">
        <is>
          <t>仅候选，渠道未登记/未认证；不可仅凭模型列表启用。</t>
        </is>
      </c>
      <c r="I36" s="10" t="str">
        <f>IF(A36="","",IF(COUNTIF('模型清单'!$B$6:$B$105,A36)=0,"模型未登记",IF(OR(B36="",C36="",D36="",E36="",F36="",G36=""),"信息不完整",IF(COUNTIFS($A$6:$A$105,A36,$B$6:$B$105,B36,$E$6:$E$105,E36)&gt;1,"顺位重复",IF(COUNTIFS($A$6:$A$105,A36,$B$6:$B$105,B36,$C$6:$C$105,C36)&gt;1,"渠道重复","待系统验证")))))</f>
        <v>待系统验证</v>
      </c>
    </row>
    <row r="37" ht="31" customHeight="1">
      <c r="A37" s="9" t="inlineStr">
        <is>
          <t>grok-4.7</t>
        </is>
      </c>
      <c r="B37" s="9" t="inlineStr">
        <is>
          <t>测试</t>
        </is>
      </c>
      <c r="C37" s="9" t="inlineStr">
        <is>
          <t>xAI 官方（规划）</t>
        </is>
      </c>
      <c r="D37" s="9" t="inlineStr">
        <is>
          <t>grok-4.7</t>
        </is>
      </c>
      <c r="E37" s="12" t="n">
        <v>1</v>
      </c>
      <c r="F37" s="11" t="inlineStr">
        <is>
          <t>停用</t>
        </is>
      </c>
      <c r="G37" s="9" t="inlineStr">
        <is>
          <t>尝试下一顺位</t>
        </is>
      </c>
      <c r="H37" s="9" t="inlineStr">
        <is>
          <t>仅候选，渠道未登记/未认证；不可仅凭模型列表启用。</t>
        </is>
      </c>
      <c r="I37" s="10" t="str">
        <f>IF(A37="","",IF(COUNTIF('模型清单'!$B$6:$B$105,A37)=0,"模型未登记",IF(OR(B37="",C37="",D37="",E37="",F37="",G37=""),"信息不完整",IF(COUNTIFS($A$6:$A$105,A37,$B$6:$B$105,B37,$E$6:$E$105,E37)&gt;1,"顺位重复",IF(COUNTIFS($A$6:$A$105,A37,$B$6:$B$105,B37,$C$6:$C$105,C37)&gt;1,"渠道重复","待系统验证")))))</f>
        <v>待系统验证</v>
      </c>
    </row>
    <row r="38" ht="31" customHeight="1">
      <c r="A38" s="9" t="inlineStr">
        <is>
          <t>mistral-large-4</t>
        </is>
      </c>
      <c r="B38" s="9" t="inlineStr">
        <is>
          <t>测试</t>
        </is>
      </c>
      <c r="C38" s="9" t="inlineStr">
        <is>
          <t>Mistral 官方（规划）</t>
        </is>
      </c>
      <c r="D38" s="9" t="inlineStr">
        <is>
          <t>mistral-large-4</t>
        </is>
      </c>
      <c r="E38" s="12" t="n">
        <v>1</v>
      </c>
      <c r="F38" s="11" t="inlineStr">
        <is>
          <t>停用</t>
        </is>
      </c>
      <c r="G38" s="9" t="inlineStr">
        <is>
          <t>尝试下一顺位</t>
        </is>
      </c>
      <c r="H38" s="9" t="inlineStr">
        <is>
          <t>仅候选，渠道未登记/未认证；官网标示 Preview；不得视作生产认证</t>
        </is>
      </c>
      <c r="I38" s="10" t="str">
        <f>IF(A38="","",IF(COUNTIF('模型清单'!$B$6:$B$105,A38)=0,"模型未登记",IF(OR(B38="",C38="",D38="",E38="",F38="",G38=""),"信息不完整",IF(COUNTIFS($A$6:$A$105,A38,$B$6:$B$105,B38,$E$6:$E$105,E38)&gt;1,"顺位重复",IF(COUNTIFS($A$6:$A$105,A38,$B$6:$B$105,B38,$C$6:$C$105,C38)&gt;1,"渠道重复","待系统验证")))))</f>
        <v>待系统验证</v>
      </c>
    </row>
    <row r="39" ht="31" customHeight="1">
      <c r="A39" s="9" t="inlineStr">
        <is>
          <t>mistral-medium-latest</t>
        </is>
      </c>
      <c r="B39" s="9" t="inlineStr">
        <is>
          <t>测试</t>
        </is>
      </c>
      <c r="C39" s="9" t="inlineStr">
        <is>
          <t>Mistral 官方（规划）</t>
        </is>
      </c>
      <c r="D39" s="9" t="inlineStr">
        <is>
          <t>mistral-medium-latest</t>
        </is>
      </c>
      <c r="E39" s="12" t="n">
        <v>1</v>
      </c>
      <c r="F39" s="11" t="inlineStr">
        <is>
          <t>停用</t>
        </is>
      </c>
      <c r="G39" s="9" t="inlineStr">
        <is>
          <t>尝试下一顺位</t>
        </is>
      </c>
      <c r="H39" s="9" t="inlineStr">
        <is>
          <t>仅候选，渠道未登记/未认证；latest 为可变别名；发布须冻结实际模型</t>
        </is>
      </c>
      <c r="I39" s="10" t="str">
        <f>IF(A39="","",IF(COUNTIF('模型清单'!$B$6:$B$105,A39)=0,"模型未登记",IF(OR(B39="",C39="",D39="",E39="",F39="",G39=""),"信息不完整",IF(COUNTIFS($A$6:$A$105,A39,$B$6:$B$105,B39,$E$6:$E$105,E39)&gt;1,"顺位重复",IF(COUNTIFS($A$6:$A$105,A39,$B$6:$B$105,B39,$C$6:$C$105,C39)&gt;1,"渠道重复","待系统验证")))))</f>
        <v>待系统验证</v>
      </c>
    </row>
    <row r="40" ht="31" customHeight="1">
      <c r="A40" s="9" t="inlineStr">
        <is>
          <t>mistral-small-latest</t>
        </is>
      </c>
      <c r="B40" s="9" t="inlineStr">
        <is>
          <t>测试</t>
        </is>
      </c>
      <c r="C40" s="9" t="inlineStr">
        <is>
          <t>Mistral 官方（规划）</t>
        </is>
      </c>
      <c r="D40" s="9" t="inlineStr">
        <is>
          <t>mistral-small-latest</t>
        </is>
      </c>
      <c r="E40" s="12" t="n">
        <v>1</v>
      </c>
      <c r="F40" s="11" t="inlineStr">
        <is>
          <t>停用</t>
        </is>
      </c>
      <c r="G40" s="9" t="inlineStr">
        <is>
          <t>尝试下一顺位</t>
        </is>
      </c>
      <c r="H40" s="9" t="inlineStr">
        <is>
          <t>仅候选，渠道未登记/未认证；latest 为可变别名；发布须冻结实际模型</t>
        </is>
      </c>
      <c r="I40" s="10" t="str">
        <f>IF(A40="","",IF(COUNTIF('模型清单'!$B$6:$B$105,A40)=0,"模型未登记",IF(OR(B40="",C40="",D40="",E40="",F40="",G40=""),"信息不完整",IF(COUNTIFS($A$6:$A$105,A40,$B$6:$B$105,B40,$E$6:$E$105,E40)&gt;1,"顺位重复",IF(COUNTIFS($A$6:$A$105,A40,$B$6:$B$105,B40,$C$6:$C$105,C40)&gt;1,"渠道重复","待系统验证")))))</f>
        <v>待系统验证</v>
      </c>
    </row>
    <row r="41" ht="31" customHeight="1">
      <c r="A41" s="9" t="inlineStr">
        <is>
          <t>magistral-medium-latest</t>
        </is>
      </c>
      <c r="B41" s="9" t="inlineStr">
        <is>
          <t>测试</t>
        </is>
      </c>
      <c r="C41" s="9" t="inlineStr">
        <is>
          <t>Mistral 官方（规划）</t>
        </is>
      </c>
      <c r="D41" s="9" t="inlineStr">
        <is>
          <t>magistral-medium-latest</t>
        </is>
      </c>
      <c r="E41" s="12" t="n">
        <v>1</v>
      </c>
      <c r="F41" s="11" t="inlineStr">
        <is>
          <t>停用</t>
        </is>
      </c>
      <c r="G41" s="9" t="inlineStr">
        <is>
          <t>尝试下一顺位</t>
        </is>
      </c>
      <c r="H41" s="9" t="inlineStr">
        <is>
          <t>仅候选，渠道未登记/未认证；latest 为可变别名；发布须冻结实际模型</t>
        </is>
      </c>
      <c r="I41" s="10" t="str">
        <f>IF(A41="","",IF(COUNTIF('模型清单'!$B$6:$B$105,A41)=0,"模型未登记",IF(OR(B41="",C41="",D41="",E41="",F41="",G41=""),"信息不完整",IF(COUNTIFS($A$6:$A$105,A41,$B$6:$B$105,B41,$E$6:$E$105,E41)&gt;1,"顺位重复",IF(COUNTIFS($A$6:$A$105,A41,$B$6:$B$105,B41,$C$6:$C$105,C41)&gt;1,"渠道重复","待系统验证")))))</f>
        <v>待系统验证</v>
      </c>
    </row>
    <row r="42" ht="31" customHeight="1">
      <c r="A42" s="9" t="inlineStr">
        <is>
          <t>doubao-seed-2-1-pro-260915</t>
        </is>
      </c>
      <c r="B42" s="9" t="inlineStr">
        <is>
          <t>测试</t>
        </is>
      </c>
      <c r="C42" s="9" t="inlineStr">
        <is>
          <t>火山方舟（规划）</t>
        </is>
      </c>
      <c r="D42" s="9" t="inlineStr">
        <is>
          <t>doubao-seed-2-1-pro-260915</t>
        </is>
      </c>
      <c r="E42" s="12" t="n">
        <v>1</v>
      </c>
      <c r="F42" s="11" t="inlineStr">
        <is>
          <t>停用</t>
        </is>
      </c>
      <c r="G42" s="9" t="inlineStr">
        <is>
          <t>尝试下一顺位</t>
        </is>
      </c>
      <c r="H42" s="9" t="inlineStr">
        <is>
          <t>仅候选，渠道未登记/未认证；不可仅凭模型列表启用。</t>
        </is>
      </c>
      <c r="I42" s="10" t="str">
        <f>IF(A42="","",IF(COUNTIF('模型清单'!$B$6:$B$105,A42)=0,"模型未登记",IF(OR(B42="",C42="",D42="",E42="",F42="",G42=""),"信息不完整",IF(COUNTIFS($A$6:$A$105,A42,$B$6:$B$105,B42,$E$6:$E$105,E42)&gt;1,"顺位重复",IF(COUNTIFS($A$6:$A$105,A42,$B$6:$B$105,B42,$C$6:$C$105,C42)&gt;1,"渠道重复","待系统验证")))))</f>
        <v>待系统验证</v>
      </c>
    </row>
    <row r="43" ht="31" customHeight="1">
      <c r="A43" s="9" t="inlineStr">
        <is>
          <t>doubao-seed-2-1-lite-260915</t>
        </is>
      </c>
      <c r="B43" s="9" t="inlineStr">
        <is>
          <t>测试</t>
        </is>
      </c>
      <c r="C43" s="9" t="inlineStr">
        <is>
          <t>火山方舟（规划）</t>
        </is>
      </c>
      <c r="D43" s="9" t="inlineStr">
        <is>
          <t>doubao-seed-2-1-lite-260915</t>
        </is>
      </c>
      <c r="E43" s="12" t="n">
        <v>1</v>
      </c>
      <c r="F43" s="11" t="inlineStr">
        <is>
          <t>停用</t>
        </is>
      </c>
      <c r="G43" s="9" t="inlineStr">
        <is>
          <t>尝试下一顺位</t>
        </is>
      </c>
      <c r="H43" s="9" t="inlineStr">
        <is>
          <t>仅候选，渠道未登记/未认证；不可仅凭模型列表启用。</t>
        </is>
      </c>
      <c r="I43" s="10" t="str">
        <f>IF(A43="","",IF(COUNTIF('模型清单'!$B$6:$B$105,A43)=0,"模型未登记",IF(OR(B43="",C43="",D43="",E43="",F43="",G43=""),"信息不完整",IF(COUNTIFS($A$6:$A$105,A43,$B$6:$B$105,B43,$E$6:$E$105,E43)&gt;1,"顺位重复",IF(COUNTIFS($A$6:$A$105,A43,$B$6:$B$105,B43,$C$6:$C$105,C43)&gt;1,"渠道重复","待系统验证")))))</f>
        <v>待系统验证</v>
      </c>
    </row>
    <row r="44" ht="31" customHeight="1">
      <c r="A44" s="9" t="inlineStr">
        <is>
          <t>doubao-seed-2-1-turbo-260628</t>
        </is>
      </c>
      <c r="B44" s="9" t="inlineStr">
        <is>
          <t>测试</t>
        </is>
      </c>
      <c r="C44" s="9" t="inlineStr">
        <is>
          <t>火山方舟（规划）</t>
        </is>
      </c>
      <c r="D44" s="9" t="inlineStr">
        <is>
          <t>doubao-seed-2-1-turbo-260628</t>
        </is>
      </c>
      <c r="E44" s="12" t="n">
        <v>1</v>
      </c>
      <c r="F44" s="11" t="inlineStr">
        <is>
          <t>停用</t>
        </is>
      </c>
      <c r="G44" s="9" t="inlineStr">
        <is>
          <t>尝试下一顺位</t>
        </is>
      </c>
      <c r="H44" s="9" t="inlineStr">
        <is>
          <t>仅候选，渠道未登记/未认证；不可仅凭模型列表启用。</t>
        </is>
      </c>
      <c r="I44" s="10" t="str">
        <f>IF(A44="","",IF(COUNTIF('模型清单'!$B$6:$B$105,A44)=0,"模型未登记",IF(OR(B44="",C44="",D44="",E44="",F44="",G44=""),"信息不完整",IF(COUNTIFS($A$6:$A$105,A44,$B$6:$B$105,B44,$E$6:$E$105,E44)&gt;1,"顺位重复",IF(COUNTIFS($A$6:$A$105,A44,$B$6:$B$105,B44,$C$6:$C$105,C44)&gt;1,"渠道重复","待系统验证")))))</f>
        <v>待系统验证</v>
      </c>
    </row>
    <row r="45" ht="31" customHeight="1">
      <c r="A45" s="9" t="inlineStr">
        <is>
          <t>ernie-5.1</t>
        </is>
      </c>
      <c r="B45" s="9" t="inlineStr">
        <is>
          <t>测试</t>
        </is>
      </c>
      <c r="C45" s="9" t="inlineStr">
        <is>
          <t>百度千帆（规划）</t>
        </is>
      </c>
      <c r="D45" s="9" t="inlineStr">
        <is>
          <t>ernie-5.1</t>
        </is>
      </c>
      <c r="E45" s="12" t="n">
        <v>1</v>
      </c>
      <c r="F45" s="11" t="inlineStr">
        <is>
          <t>停用</t>
        </is>
      </c>
      <c r="G45" s="9" t="inlineStr">
        <is>
          <t>尝试下一顺位</t>
        </is>
      </c>
      <c r="H45" s="9" t="inlineStr">
        <is>
          <t>仅候选，渠道未登记/未认证；5.1 型号请以目标千帆账号模型清单为准</t>
        </is>
      </c>
      <c r="I45" s="10" t="str">
        <f>IF(A45="","",IF(COUNTIF('模型清单'!$B$6:$B$105,A45)=0,"模型未登记",IF(OR(B45="",C45="",D45="",E45="",F45="",G45=""),"信息不完整",IF(COUNTIFS($A$6:$A$105,A45,$B$6:$B$105,B45,$E$6:$E$105,E45)&gt;1,"顺位重复",IF(COUNTIFS($A$6:$A$105,A45,$B$6:$B$105,B45,$C$6:$C$105,C45)&gt;1,"渠道重复","待系统验证")))))</f>
        <v>待系统验证</v>
      </c>
    </row>
    <row r="46" ht="31" customHeight="1">
      <c r="A46" s="9" t="inlineStr">
        <is>
          <t>ernie-5.0</t>
        </is>
      </c>
      <c r="B46" s="9" t="inlineStr">
        <is>
          <t>测试</t>
        </is>
      </c>
      <c r="C46" s="9" t="inlineStr">
        <is>
          <t>百度千帆（规划）</t>
        </is>
      </c>
      <c r="D46" s="9" t="inlineStr">
        <is>
          <t>ernie-5.0</t>
        </is>
      </c>
      <c r="E46" s="12" t="n">
        <v>1</v>
      </c>
      <c r="F46" s="11" t="inlineStr">
        <is>
          <t>停用</t>
        </is>
      </c>
      <c r="G46" s="9" t="inlineStr">
        <is>
          <t>尝试下一顺位</t>
        </is>
      </c>
      <c r="H46" s="9" t="inlineStr">
        <is>
          <t>仅候选，渠道未登记/未认证；不可仅凭模型列表启用。</t>
        </is>
      </c>
      <c r="I46" s="10" t="str">
        <f>IF(A46="","",IF(COUNTIF('模型清单'!$B$6:$B$105,A46)=0,"模型未登记",IF(OR(B46="",C46="",D46="",E46="",F46="",G46=""),"信息不完整",IF(COUNTIFS($A$6:$A$105,A46,$B$6:$B$105,B46,$E$6:$E$105,E46)&gt;1,"顺位重复",IF(COUNTIFS($A$6:$A$105,A46,$B$6:$B$105,B46,$C$6:$C$105,C46)&gt;1,"渠道重复","待系统验证")))))</f>
        <v>待系统验证</v>
      </c>
    </row>
    <row r="47" ht="31" customHeight="1">
      <c r="A47" s="9" t="inlineStr">
        <is>
          <t>hunyuan-turbos-latest</t>
        </is>
      </c>
      <c r="B47" s="9" t="inlineStr">
        <is>
          <t>测试</t>
        </is>
      </c>
      <c r="C47" s="9" t="inlineStr">
        <is>
          <t>腾讯混元（规划）</t>
        </is>
      </c>
      <c r="D47" s="9" t="inlineStr">
        <is>
          <t>hunyuan-turbos-latest</t>
        </is>
      </c>
      <c r="E47" s="12" t="n">
        <v>1</v>
      </c>
      <c r="F47" s="11" t="inlineStr">
        <is>
          <t>停用</t>
        </is>
      </c>
      <c r="G47" s="9" t="inlineStr">
        <is>
          <t>尝试下一顺位</t>
        </is>
      </c>
      <c r="H47" s="9" t="inlineStr">
        <is>
          <t>仅候选，渠道未登记/未认证；latest 为可变别名；发布须冻结实际模型</t>
        </is>
      </c>
      <c r="I47" s="10" t="str">
        <f>IF(A47="","",IF(COUNTIF('模型清单'!$B$6:$B$105,A47)=0,"模型未登记",IF(OR(B47="",C47="",D47="",E47="",F47="",G47=""),"信息不完整",IF(COUNTIFS($A$6:$A$105,A47,$B$6:$B$105,B47,$E$6:$E$105,E47)&gt;1,"顺位重复",IF(COUNTIFS($A$6:$A$105,A47,$B$6:$B$105,B47,$C$6:$C$105,C47)&gt;1,"渠道重复","待系统验证")))))</f>
        <v>待系统验证</v>
      </c>
    </row>
    <row r="48" ht="31" customHeight="1">
      <c r="A48" s="9" t="inlineStr">
        <is>
          <t>hunyuan-t1</t>
        </is>
      </c>
      <c r="B48" s="9" t="inlineStr">
        <is>
          <t>测试</t>
        </is>
      </c>
      <c r="C48" s="9" t="inlineStr">
        <is>
          <t>腾讯混元（规划）</t>
        </is>
      </c>
      <c r="D48" s="9" t="inlineStr">
        <is>
          <t>hunyuan-t1</t>
        </is>
      </c>
      <c r="E48" s="12" t="n">
        <v>1</v>
      </c>
      <c r="F48" s="11" t="inlineStr">
        <is>
          <t>停用</t>
        </is>
      </c>
      <c r="G48" s="9" t="inlineStr">
        <is>
          <t>尝试下一顺位</t>
        </is>
      </c>
      <c r="H48" s="9" t="inlineStr">
        <is>
          <t>仅候选，渠道未登记/未认证；不可仅凭模型列表启用。</t>
        </is>
      </c>
      <c r="I48" s="10" t="str">
        <f>IF(A48="","",IF(COUNTIF('模型清单'!$B$6:$B$105,A48)=0,"模型未登记",IF(OR(B48="",C48="",D48="",E48="",F48="",G48=""),"信息不完整",IF(COUNTIFS($A$6:$A$105,A48,$B$6:$B$105,B48,$E$6:$E$105,E48)&gt;1,"顺位重复",IF(COUNTIFS($A$6:$A$105,A48,$B$6:$B$105,B48,$C$6:$C$105,C48)&gt;1,"渠道重复","待系统验证")))))</f>
        <v>待系统验证</v>
      </c>
    </row>
    <row r="49" ht="31" customHeight="1">
      <c r="A49" s="9" t="inlineStr">
        <is>
          <t>llama-4-maverick</t>
        </is>
      </c>
      <c r="B49" s="9" t="inlineStr">
        <is>
          <t>测试</t>
        </is>
      </c>
      <c r="C49" s="9" t="inlineStr">
        <is>
          <t>自托管 Llama（规划）</t>
        </is>
      </c>
      <c r="D49" s="9" t="inlineStr">
        <is>
          <t>meta-llama/Llama-4-Maverick-17B-128E-Instruct</t>
        </is>
      </c>
      <c r="E49" s="12" t="n">
        <v>1</v>
      </c>
      <c r="F49" s="11" t="inlineStr">
        <is>
          <t>停用</t>
        </is>
      </c>
      <c r="G49" s="9" t="inlineStr">
        <is>
          <t>尝试下一顺位</t>
        </is>
      </c>
      <c r="H49" s="9" t="inlineStr">
        <is>
          <t>仅候选，渠道未登记/未认证；上游列仅为模型仓库标识，不是可调用 API 型号；发布前必换具体端点 ID</t>
        </is>
      </c>
      <c r="I49" s="10" t="str">
        <f>IF(A49="","",IF(COUNTIF('模型清单'!$B$6:$B$105,A49)=0,"模型未登记",IF(OR(B49="",C49="",D49="",E49="",F49="",G49=""),"信息不完整",IF(COUNTIFS($A$6:$A$105,A49,$B$6:$B$105,B49,$E$6:$E$105,E49)&gt;1,"顺位重复",IF(COUNTIFS($A$6:$A$105,A49,$B$6:$B$105,B49,$C$6:$C$105,C49)&gt;1,"渠道重复","待系统验证")))))</f>
        <v>待系统验证</v>
      </c>
    </row>
    <row r="50" ht="31" customHeight="1">
      <c r="A50" s="9" t="inlineStr">
        <is>
          <t>llama-4-scout</t>
        </is>
      </c>
      <c r="B50" s="9" t="inlineStr">
        <is>
          <t>测试</t>
        </is>
      </c>
      <c r="C50" s="9" t="inlineStr">
        <is>
          <t>自托管 Llama（规划）</t>
        </is>
      </c>
      <c r="D50" s="9" t="inlineStr">
        <is>
          <t>meta-llama/Llama-4-Scout-17B-16E-Instruct</t>
        </is>
      </c>
      <c r="E50" s="12" t="n">
        <v>1</v>
      </c>
      <c r="F50" s="11" t="inlineStr">
        <is>
          <t>停用</t>
        </is>
      </c>
      <c r="G50" s="9" t="inlineStr">
        <is>
          <t>尝试下一顺位</t>
        </is>
      </c>
      <c r="H50" s="9" t="inlineStr">
        <is>
          <t>仅候选，渠道未登记/未认证；上游列仅为模型仓库标识，不是可调用 API 型号；发布前必换具体端点 ID</t>
        </is>
      </c>
      <c r="I50" s="10" t="str">
        <f>IF(A50="","",IF(COUNTIF('模型清单'!$B$6:$B$105,A50)=0,"模型未登记",IF(OR(B50="",C50="",D50="",E50="",F50="",G50=""),"信息不完整",IF(COUNTIFS($A$6:$A$105,A50,$B$6:$B$105,B50,$E$6:$E$105,E50)&gt;1,"顺位重复",IF(COUNTIFS($A$6:$A$105,A50,$B$6:$B$105,B50,$C$6:$C$105,C50)&gt;1,"渠道重复","待系统验证")))))</f>
        <v>待系统验证</v>
      </c>
    </row>
    <row r="51" ht="31" customHeight="1">
      <c r="A51" s="9" t="inlineStr">
        <is>
          <t>openai/gpt-oss-120b</t>
        </is>
      </c>
      <c r="B51" s="9" t="inlineStr">
        <is>
          <t>测试</t>
        </is>
      </c>
      <c r="C51" s="9" t="inlineStr">
        <is>
          <t>GroqCloud（规划）</t>
        </is>
      </c>
      <c r="D51" s="9" t="inlineStr">
        <is>
          <t>openai/gpt-oss-120b</t>
        </is>
      </c>
      <c r="E51" s="12" t="n">
        <v>1</v>
      </c>
      <c r="F51" s="11" t="inlineStr">
        <is>
          <t>停用</t>
        </is>
      </c>
      <c r="G51" s="9" t="inlineStr">
        <is>
          <t>尝试下一顺位</t>
        </is>
      </c>
      <c r="H51" s="9" t="inlineStr">
        <is>
          <t>仅候选，渠道未登记/未认证；该 ID 仅适用于 GroqCloud；不是 OpenAI 官方 API 路由</t>
        </is>
      </c>
      <c r="I51" s="10" t="str">
        <f>IF(A51="","",IF(COUNTIF('模型清单'!$B$6:$B$105,A51)=0,"模型未登记",IF(OR(B51="",C51="",D51="",E51="",F51="",G51=""),"信息不完整",IF(COUNTIFS($A$6:$A$105,A51,$B$6:$B$105,B51,$E$6:$E$105,E51)&gt;1,"顺位重复",IF(COUNTIFS($A$6:$A$105,A51,$B$6:$B$105,B51,$C$6:$C$105,C51)&gt;1,"渠道重复","待系统验证")))))</f>
        <v>待系统验证</v>
      </c>
    </row>
    <row r="52" ht="31" customHeight="1">
      <c r="A52" s="9" t="inlineStr">
        <is>
          <t>openai/gpt-oss-20b</t>
        </is>
      </c>
      <c r="B52" s="9" t="inlineStr">
        <is>
          <t>测试</t>
        </is>
      </c>
      <c r="C52" s="9" t="inlineStr">
        <is>
          <t>GroqCloud（规划）</t>
        </is>
      </c>
      <c r="D52" s="9" t="inlineStr">
        <is>
          <t>openai/gpt-oss-20b</t>
        </is>
      </c>
      <c r="E52" s="12" t="n">
        <v>1</v>
      </c>
      <c r="F52" s="11" t="inlineStr">
        <is>
          <t>停用</t>
        </is>
      </c>
      <c r="G52" s="9" t="inlineStr">
        <is>
          <t>尝试下一顺位</t>
        </is>
      </c>
      <c r="H52" s="9" t="inlineStr">
        <is>
          <t>仅候选，渠道未登记/未认证；该 ID 仅适用于 GroqCloud；不是 OpenAI 官方 API 路由</t>
        </is>
      </c>
      <c r="I52" s="10" t="str">
        <f>IF(A52="","",IF(COUNTIF('模型清单'!$B$6:$B$105,A52)=0,"模型未登记",IF(OR(B52="",C52="",D52="",E52="",F52="",G52=""),"信息不完整",IF(COUNTIFS($A$6:$A$105,A52,$B$6:$B$105,B52,$E$6:$E$105,E52)&gt;1,"顺位重复",IF(COUNTIFS($A$6:$A$105,A52,$B$6:$B$105,B52,$C$6:$C$105,C52)&gt;1,"渠道重复","待系统验证")))))</f>
        <v>待系统验证</v>
      </c>
    </row>
    <row r="53" ht="42" customHeight="1">
      <c r="A53" s="9" t="inlineStr">
        <is>
          <t>gemini-3.1-pro-preview</t>
        </is>
      </c>
      <c r="B53" s="9" t="inlineStr">
        <is>
          <t>测试</t>
        </is>
      </c>
      <c r="C53" s="9" t="inlineStr">
        <is>
          <t>Google 官方（规划）</t>
        </is>
      </c>
      <c r="D53" s="9" t="inlineStr">
        <is>
          <t>gemini-3.1-pro-preview</t>
        </is>
      </c>
      <c r="E53" s="12" t="n">
        <v>1</v>
      </c>
      <c r="F53" s="11" t="inlineStr">
        <is>
          <t>停用</t>
        </is>
      </c>
      <c r="G53" s="9" t="inlineStr">
        <is>
          <t>尝试下一顺位</t>
        </is>
      </c>
      <c r="H53" s="32" t="inlineStr">
        <is>
          <t>官方预览模型；Preview 型号；需按账号、区域和渠道确认仍可调用</t>
        </is>
      </c>
      <c r="I53" s="10" t="str">
        <f>IF(A53="","",IF(COUNTIF('模型清单'!$B$6:$B$105,A53)=0,"模型未登记",IF(OR(B53="",C53="",D53="",E53="",F53="",G53=""),"信息不完整",IF(COUNTIFS($A$6:$A$105,A53,$B$6:$B$105,B53,$E$6:$E$105,E53)&gt;1,"顺位重复",IF(COUNTIFS($A$6:$A$105,A53,$B$6:$B$105,B53,$C$6:$C$105,C53)&gt;1,"渠道重复","待系统验证")))))</f>
        <v>待系统验证</v>
      </c>
    </row>
    <row r="54" ht="42" customHeight="1">
      <c r="A54" s="9" t="inlineStr">
        <is>
          <t>gemini-3.1-pro-preview-search</t>
        </is>
      </c>
      <c r="B54" s="9" t="inlineStr">
        <is>
          <t>测试</t>
        </is>
      </c>
      <c r="C54" s="9" t="inlineStr">
        <is>
          <t>聚合渠道 Gemini Search（待登记）</t>
        </is>
      </c>
      <c r="D54" s="9" t="inlineStr">
        <is>
          <t>gemini-3.1-pro-preview-search</t>
        </is>
      </c>
      <c r="E54" s="12" t="n">
        <v>1</v>
      </c>
      <c r="F54" s="11" t="inlineStr">
        <is>
          <t>停用</t>
        </is>
      </c>
      <c r="G54" s="9" t="inlineStr">
        <is>
          <t>尝试下一顺位</t>
        </is>
      </c>
      <c r="H54" s="32" t="inlineStr">
        <is>
          <t>用户截图所示聚合路由别名；Google 官方目录未列出此带 -search 后缀的独立型号；是否绑定搜索工具须单独验收</t>
        </is>
      </c>
      <c r="I54" s="10" t="str">
        <f>IF(A54="","",IF(COUNTIF('模型清单'!$B$6:$B$105,A54)=0,"模型未登记",IF(OR(B54="",C54="",D54="",E54="",F54="",G54=""),"信息不完整",IF(COUNTIFS($A$6:$A$105,A54,$B$6:$B$105,B54,$E$6:$E$105,E54)&gt;1,"顺位重复",IF(COUNTIFS($A$6:$A$105,A54,$B$6:$B$105,B54,$C$6:$C$105,C54)&gt;1,"渠道重复","待系统验证")))))</f>
        <v>待系统验证</v>
      </c>
    </row>
    <row r="55" ht="42" customHeight="1">
      <c r="A55" s="9" t="inlineStr">
        <is>
          <t>gemini-3.5-flash-lite-free</t>
        </is>
      </c>
      <c r="B55" s="9" t="inlineStr">
        <is>
          <t>测试</t>
        </is>
      </c>
      <c r="C55" s="9" t="inlineStr">
        <is>
          <t>聚合渠道 Gemini Free（待登记）</t>
        </is>
      </c>
      <c r="D55" s="9" t="inlineStr">
        <is>
          <t>gemini-3.5-flash-lite-free</t>
        </is>
      </c>
      <c r="E55" s="12" t="n">
        <v>1</v>
      </c>
      <c r="F55" s="11" t="inlineStr">
        <is>
          <t>停用</t>
        </is>
      </c>
      <c r="G55" s="9" t="inlineStr">
        <is>
          <t>尝试下一顺位</t>
        </is>
      </c>
      <c r="H55" s="32" t="inlineStr">
        <is>
          <t>用户截图所示聚合免费路由别名；Google 官方型号为 gemini-3.5-flash-lite；-free 仅按截图登记，不能推断免费额度</t>
        </is>
      </c>
      <c r="I55" s="10" t="str">
        <f>IF(A55="","",IF(COUNTIF('模型清单'!$B$6:$B$105,A55)=0,"模型未登记",IF(OR(B55="",C55="",D55="",E55="",F55="",G55=""),"信息不完整",IF(COUNTIFS($A$6:$A$105,A55,$B$6:$B$105,B55,$E$6:$E$105,E55)&gt;1,"顺位重复",IF(COUNTIFS($A$6:$A$105,A55,$B$6:$B$105,B55,$C$6:$C$105,C55)&gt;1,"渠道重复","待系统验证")))))</f>
        <v>待系统验证</v>
      </c>
    </row>
    <row r="56" ht="42" customHeight="1">
      <c r="A56" s="9" t="inlineStr">
        <is>
          <t>grok-4.5</t>
        </is>
      </c>
      <c r="B56" s="9" t="inlineStr">
        <is>
          <t>测试</t>
        </is>
      </c>
      <c r="C56" s="9" t="inlineStr">
        <is>
          <t>xAI 官方（规划）</t>
        </is>
      </c>
      <c r="D56" s="9" t="inlineStr">
        <is>
          <t>grok-4.5</t>
        </is>
      </c>
      <c r="E56" s="12" t="n">
        <v>1</v>
      </c>
      <c r="F56" s="11" t="inlineStr">
        <is>
          <t>停用</t>
        </is>
      </c>
      <c r="G56" s="9" t="inlineStr">
        <is>
          <t>尝试下一顺位</t>
        </is>
      </c>
      <c r="H56" s="32" t="inlineStr">
        <is>
          <t>官方模型 ID；具体提供范围、协议和账号可用性待认证</t>
        </is>
      </c>
      <c r="I56" s="10" t="str">
        <f>IF(A56="","",IF(COUNTIF('模型清单'!$B$6:$B$105,A56)=0,"模型未登记",IF(OR(B56="",C56="",D56="",E56="",F56="",G56=""),"信息不完整",IF(COUNTIFS($A$6:$A$105,A56,$B$6:$B$105,B56,$E$6:$E$105,E56)&gt;1,"顺位重复",IF(COUNTIFS($A$6:$A$105,A56,$B$6:$B$105,B56,$C$6:$C$105,C56)&gt;1,"渠道重复","待系统验证")))))</f>
        <v>待系统验证</v>
      </c>
    </row>
    <row r="57" ht="42" customHeight="1">
      <c r="A57" s="9" t="inlineStr">
        <is>
          <t>grok-4.6</t>
        </is>
      </c>
      <c r="B57" s="9" t="inlineStr">
        <is>
          <t>测试</t>
        </is>
      </c>
      <c r="C57" s="9" t="inlineStr">
        <is>
          <t>xAI 官方（规划）</t>
        </is>
      </c>
      <c r="D57" s="9" t="inlineStr">
        <is>
          <t>grok-4.6</t>
        </is>
      </c>
      <c r="E57" s="12" t="n">
        <v>1</v>
      </c>
      <c r="F57" s="11" t="inlineStr">
        <is>
          <t>停用</t>
        </is>
      </c>
      <c r="G57" s="9" t="inlineStr">
        <is>
          <t>尝试下一顺位</t>
        </is>
      </c>
      <c r="H57" s="32" t="inlineStr">
        <is>
          <t>官方模型 ID；具体提供范围、协议和账号可用性待认证</t>
        </is>
      </c>
      <c r="I57" s="10" t="str">
        <f>IF(A57="","",IF(COUNTIF('模型清单'!$B$6:$B$105,A57)=0,"模型未登记",IF(OR(B57="",C57="",D57="",E57="",F57="",G57=""),"信息不完整",IF(COUNTIFS($A$6:$A$105,A57,$B$6:$B$105,B57,$E$6:$E$105,E57)&gt;1,"顺位重复",IF(COUNTIFS($A$6:$A$105,A57,$B$6:$B$105,B57,$C$6:$C$105,C57)&gt;1,"渠道重复","待系统验证")))))</f>
        <v>待系统验证</v>
      </c>
    </row>
    <row r="58" ht="42" customHeight="1">
      <c r="A58" s="9" t="inlineStr">
        <is>
          <t>kimi-k3</t>
        </is>
      </c>
      <c r="B58" s="9" t="inlineStr">
        <is>
          <t>测试</t>
        </is>
      </c>
      <c r="C58" s="9" t="inlineStr">
        <is>
          <t>Moonshot 官方（规划）</t>
        </is>
      </c>
      <c r="D58" s="9" t="inlineStr">
        <is>
          <t>kimi-k3</t>
        </is>
      </c>
      <c r="E58" s="12" t="n">
        <v>1</v>
      </c>
      <c r="F58" s="11" t="inlineStr">
        <is>
          <t>停用</t>
        </is>
      </c>
      <c r="G58" s="9" t="inlineStr">
        <is>
          <t>尝试下一顺位</t>
        </is>
      </c>
      <c r="H58" s="32" t="inlineStr">
        <is>
          <t>Moonshot 模型；各渠道 ID 可能不同；Moonshot/聚合渠道实际 API 型号和参数须逐渠道冻结</t>
        </is>
      </c>
      <c r="I58" s="10" t="str">
        <f>IF(A58="","",IF(COUNTIF('模型清单'!$B$6:$B$105,A58)=0,"模型未登记",IF(OR(B58="",C58="",D58="",E58="",F58="",G58=""),"信息不完整",IF(COUNTIFS($A$6:$A$105,A58,$B$6:$B$105,B58,$E$6:$E$105,E58)&gt;1,"顺位重复",IF(COUNTIFS($A$6:$A$105,A58,$B$6:$B$105,B58,$C$6:$C$105,C58)&gt;1,"渠道重复","待系统验证")))))</f>
        <v>待系统验证</v>
      </c>
    </row>
    <row r="59" ht="42" customHeight="1">
      <c r="A59" s="9" t="inlineStr">
        <is>
          <t>kimi-k2.7-code</t>
        </is>
      </c>
      <c r="B59" s="9" t="inlineStr">
        <is>
          <t>测试</t>
        </is>
      </c>
      <c r="C59" s="9" t="inlineStr">
        <is>
          <t>Moonshot 官方（规划）</t>
        </is>
      </c>
      <c r="D59" s="9" t="inlineStr">
        <is>
          <t>kimi-k2.7-code</t>
        </is>
      </c>
      <c r="E59" s="12" t="n">
        <v>1</v>
      </c>
      <c r="F59" s="11" t="inlineStr">
        <is>
          <t>停用</t>
        </is>
      </c>
      <c r="G59" s="9" t="inlineStr">
        <is>
          <t>尝试下一顺位</t>
        </is>
      </c>
      <c r="H59" s="32" t="inlineStr">
        <is>
          <t>Moonshot 编码模型；官方权重名称与 API ID 区别；编码模型；推理参数与可用接入协议单独验证</t>
        </is>
      </c>
      <c r="I59" s="10" t="str">
        <f>IF(A59="","",IF(COUNTIF('模型清单'!$B$6:$B$105,A59)=0,"模型未登记",IF(OR(B59="",C59="",D59="",E59="",F59="",G59=""),"信息不完整",IF(COUNTIFS($A$6:$A$105,A59,$B$6:$B$105,B59,$E$6:$E$105,E59)&gt;1,"顺位重复",IF(COUNTIFS($A$6:$A$105,A59,$B$6:$B$105,B59,$C$6:$C$105,C59)&gt;1,"渠道重复","待系统验证")))))</f>
        <v>待系统验证</v>
      </c>
    </row>
    <row r="60" ht="42" customHeight="1">
      <c r="A60" s="9" t="inlineStr">
        <is>
          <t>claude-sonnet-5</t>
        </is>
      </c>
      <c r="B60" s="9" t="inlineStr">
        <is>
          <t>测试</t>
        </is>
      </c>
      <c r="C60" s="9" t="inlineStr">
        <is>
          <t>Anthropic 官方（规划）</t>
        </is>
      </c>
      <c r="D60" s="9" t="inlineStr">
        <is>
          <t>claude-sonnet-5</t>
        </is>
      </c>
      <c r="E60" s="12" t="n">
        <v>1</v>
      </c>
      <c r="F60" s="11" t="inlineStr">
        <is>
          <t>停用</t>
        </is>
      </c>
      <c r="G60" s="9" t="inlineStr">
        <is>
          <t>尝试下一顺位</t>
        </is>
      </c>
      <c r="H60" s="32" t="inlineStr">
        <is>
          <t>官方 API 模型 ID；不是 Claude Sonnet 5.5；两者作为独立型号冻结</t>
        </is>
      </c>
      <c r="I60" s="10" t="str">
        <f>IF(A60="","",IF(COUNTIF('模型清单'!$B$6:$B$105,A60)=0,"模型未登记",IF(OR(B60="",C60="",D60="",E60="",F60="",G60=""),"信息不完整",IF(COUNTIFS($A$6:$A$105,A60,$B$6:$B$105,B60,$E$6:$E$105,E60)&gt;1,"顺位重复",IF(COUNTIFS($A$6:$A$105,A60,$B$6:$B$105,B60,$C$6:$C$105,C60)&gt;1,"渠道重复","待系统验证")))))</f>
        <v>待系统验证</v>
      </c>
    </row>
    <row r="61" ht="42" customHeight="1">
      <c r="A61" s="9" t="inlineStr">
        <is>
          <t>coding-glm-5.3-free</t>
        </is>
      </c>
      <c r="B61" s="9" t="inlineStr">
        <is>
          <t>测试</t>
        </is>
      </c>
      <c r="C61" s="9" t="inlineStr">
        <is>
          <t>聚合渠道 GLM Coding（待登记）</t>
        </is>
      </c>
      <c r="D61" s="9" t="inlineStr">
        <is>
          <t>coding-glm-5.3-free</t>
        </is>
      </c>
      <c r="E61" s="12" t="n">
        <v>1</v>
      </c>
      <c r="F61" s="11" t="inlineStr">
        <is>
          <t>停用</t>
        </is>
      </c>
      <c r="G61" s="9" t="inlineStr">
        <is>
          <t>尝试下一顺位</t>
        </is>
      </c>
      <c r="H61" s="32" t="inlineStr">
        <is>
          <t>用户提供的聚合免费路由别名；不等于 Z.AI 官方 glm-5.3；免费/限流/代码接口需渠道认证</t>
        </is>
      </c>
      <c r="I61" s="10" t="str">
        <f>IF(A61="","",IF(COUNTIF('模型清单'!$B$6:$B$105,A61)=0,"模型未登记",IF(OR(B61="",C61="",D61="",E61="",F61="",G61=""),"信息不完整",IF(COUNTIFS($A$6:$A$105,A61,$B$6:$B$105,B61,$E$6:$E$105,E61)&gt;1,"顺位重复",IF(COUNTIFS($A$6:$A$105,A61,$B$6:$B$105,B61,$C$6:$C$105,C61)&gt;1,"渠道重复","待系统验证")))))</f>
        <v>待系统验证</v>
      </c>
    </row>
    <row r="62" ht="42" customHeight="1">
      <c r="A62" s="9" t="inlineStr">
        <is>
          <t>xiaomi-mimo-v2.6-pro-free</t>
        </is>
      </c>
      <c r="B62" s="9" t="inlineStr">
        <is>
          <t>测试</t>
        </is>
      </c>
      <c r="C62" s="9" t="inlineStr">
        <is>
          <t>聚合渠道 Xiaomi Free（待登记）</t>
        </is>
      </c>
      <c r="D62" s="9" t="inlineStr">
        <is>
          <t>xiaomi-mimo-v2.6-pro-free</t>
        </is>
      </c>
      <c r="E62" s="12" t="n">
        <v>1</v>
      </c>
      <c r="F62" s="11" t="inlineStr">
        <is>
          <t>停用</t>
        </is>
      </c>
      <c r="G62" s="9" t="inlineStr">
        <is>
          <t>尝试下一顺位</t>
        </is>
      </c>
      <c r="H62" s="32" t="inlineStr">
        <is>
          <t>用户提供的聚合免费路由别名；小米官方 ID 为 mimo-v2.6-pro；-free 是独立聚合渠道路由声明</t>
        </is>
      </c>
      <c r="I62" s="10" t="str">
        <f>IF(A62="","",IF(COUNTIF('模型清单'!$B$6:$B$105,A62)=0,"模型未登记",IF(OR(B62="",C62="",D62="",E62="",F62="",G62=""),"信息不完整",IF(COUNTIFS($A$6:$A$105,A62,$B$6:$B$105,B62,$E$6:$E$105,E62)&gt;1,"顺位重复",IF(COUNTIFS($A$6:$A$105,A62,$B$6:$B$105,B62,$C$6:$C$105,C62)&gt;1,"渠道重复","待系统验证")))))</f>
        <v>待系统验证</v>
      </c>
    </row>
    <row r="63" ht="42" customHeight="1">
      <c r="A63" s="9" t="inlineStr">
        <is>
          <t>gpt-6.1-sol</t>
        </is>
      </c>
      <c r="B63" s="9" t="inlineStr">
        <is>
          <t>测试</t>
        </is>
      </c>
      <c r="C63" s="9" t="inlineStr">
        <is>
          <t>OpenAI 官方（规划）</t>
        </is>
      </c>
      <c r="D63" s="9" t="inlineStr">
        <is>
          <t>gpt-6.1-sol</t>
        </is>
      </c>
      <c r="E63" s="12" t="n">
        <v>1</v>
      </c>
      <c r="F63" s="11" t="inlineStr">
        <is>
          <t>停用</t>
        </is>
      </c>
      <c r="G63" s="9" t="inlineStr">
        <is>
          <t>尝试下一顺位</t>
        </is>
      </c>
      <c r="H63" s="32" t="inlineStr">
        <is>
          <t>额外补漏：官方新版模型 ID；不能用 gpt-6-sol 的旧档位或协议兼容假设代替新版认证</t>
        </is>
      </c>
      <c r="I63" s="10" t="str">
        <f>IF(A63="","",IF(COUNTIF('模型清单'!$B$6:$B$105,A63)=0,"模型未登记",IF(OR(B63="",C63="",D63="",E63="",F63="",G63=""),"信息不完整",IF(COUNTIFS($A$6:$A$105,A63,$B$6:$B$105,B63,$E$6:$E$105,E63)&gt;1,"顺位重复",IF(COUNTIFS($A$6:$A$105,A63,$B$6:$B$105,B63,$C$6:$C$105,C63)&gt;1,"渠道重复","待系统验证")))))</f>
        <v>待系统验证</v>
      </c>
    </row>
    <row r="64" ht="42" customHeight="1">
      <c r="A64" s="9" t="inlineStr">
        <is>
          <t>claude-opus-5</t>
        </is>
      </c>
      <c r="B64" s="9" t="inlineStr">
        <is>
          <t>测试</t>
        </is>
      </c>
      <c r="C64" s="9" t="inlineStr">
        <is>
          <t>Anthropic 官方（规划）</t>
        </is>
      </c>
      <c r="D64" s="9" t="inlineStr">
        <is>
          <t>claude-opus-5</t>
        </is>
      </c>
      <c r="E64" s="12" t="n">
        <v>1</v>
      </c>
      <c r="F64" s="11" t="inlineStr">
        <is>
          <t>停用</t>
        </is>
      </c>
      <c r="G64" s="9" t="inlineStr">
        <is>
          <t>尝试下一顺位</t>
        </is>
      </c>
      <c r="H64" s="32" t="inlineStr">
        <is>
          <t>额外补漏：官方历史活跃模型 ID；与 claude-opus-5-5 分开管理，不自动合并</t>
        </is>
      </c>
      <c r="I64" s="10" t="str">
        <f>IF(A64="","",IF(COUNTIF('模型清单'!$B$6:$B$105,A64)=0,"模型未登记",IF(OR(B64="",C64="",D64="",E64="",F64="",G64=""),"信息不完整",IF(COUNTIFS($A$6:$A$105,A64,$B$6:$B$105,B64,$E$6:$E$105,E64)&gt;1,"顺位重复",IF(COUNTIFS($A$6:$A$105,A64,$B$6:$B$105,B64,$C$6:$C$105,C64)&gt;1,"渠道重复","待系统验证")))))</f>
        <v>待系统验证</v>
      </c>
    </row>
    <row r="65" ht="42" customHeight="1">
      <c r="A65" s="9" t="inlineStr">
        <is>
          <t>mimo-v2.6-pro</t>
        </is>
      </c>
      <c r="B65" s="9" t="inlineStr">
        <is>
          <t>测试</t>
        </is>
      </c>
      <c r="C65" s="9" t="inlineStr">
        <is>
          <t>Xiaomi 官方（规划）</t>
        </is>
      </c>
      <c r="D65" s="9" t="inlineStr">
        <is>
          <t>mimo-v2.6-pro</t>
        </is>
      </c>
      <c r="E65" s="12" t="n">
        <v>1</v>
      </c>
      <c r="F65" s="11" t="inlineStr">
        <is>
          <t>停用</t>
        </is>
      </c>
      <c r="G65" s="9" t="inlineStr">
        <is>
          <t>尝试下一顺位</t>
        </is>
      </c>
      <c r="H65" s="32" t="inlineStr">
        <is>
          <t>额外补漏：小米官方 API 模型 ID；官方直连与 xiaomi-mimo-v2.6-pro-free 不能共用供应身份</t>
        </is>
      </c>
      <c r="I65" s="10" t="str">
        <f>IF(A65="","",IF(COUNTIF('模型清单'!$B$6:$B$105,A65)=0,"模型未登记",IF(OR(B65="",C65="",D65="",E65="",F65="",G65=""),"信息不完整",IF(COUNTIFS($A$6:$A$105,A65,$B$6:$B$105,B65,$E$6:$E$105,E65)&gt;1,"顺位重复",IF(COUNTIFS($A$6:$A$105,A65,$B$6:$B$105,B65,$C$6:$C$105,C65)&gt;1,"渠道重复","待系统验证")))))</f>
        <v>待系统验证</v>
      </c>
    </row>
    <row r="66" ht="42" customHeight="1">
      <c r="A66" s="9" t="inlineStr">
        <is>
          <t>glm-5.3-flash</t>
        </is>
      </c>
      <c r="B66" s="9" t="inlineStr">
        <is>
          <t>测试</t>
        </is>
      </c>
      <c r="C66" s="9" t="inlineStr">
        <is>
          <t>智谱官方（规划）</t>
        </is>
      </c>
      <c r="D66" s="9" t="inlineStr">
        <is>
          <t>glm-5.3-flash</t>
        </is>
      </c>
      <c r="E66" s="12" t="n">
        <v>1</v>
      </c>
      <c r="F66" s="11" t="inlineStr">
        <is>
          <t>停用</t>
        </is>
      </c>
      <c r="G66" s="9" t="inlineStr">
        <is>
          <t>尝试下一顺位</t>
        </is>
      </c>
      <c r="H66" s="32" t="inlineStr">
        <is>
          <t>额外补漏：GLM 官方 Flash 型号；与 coding-glm-5.3-free 为不同 ID；需要独立渠道认证</t>
        </is>
      </c>
      <c r="I66" s="10" t="str">
        <f>IF(A66="","",IF(COUNTIF('模型清单'!$B$6:$B$105,A66)=0,"模型未登记",IF(OR(B66="",C66="",D66="",E66="",F66="",G66=""),"信息不完整",IF(COUNTIFS($A$6:$A$105,A66,$B$6:$B$105,B66,$E$6:$E$105,E66)&gt;1,"顺位重复",IF(COUNTIFS($A$6:$A$105,A66,$B$6:$B$105,B66,$C$6:$C$105,C66)&gt;1,"渠道重复","待系统验证")))))</f>
        <v>待系统验证</v>
      </c>
    </row>
    <row r="67" ht="31" customHeight="1">
      <c r="A67" s="9" t="n"/>
      <c r="B67" s="9" t="n"/>
      <c r="C67" s="9" t="n"/>
      <c r="D67" s="9" t="n"/>
      <c r="E67" s="12" t="n"/>
      <c r="F67" s="11" t="n"/>
      <c r="G67" s="9" t="n"/>
      <c r="H67" s="9" t="n"/>
      <c r="I67" s="10">
        <f>IF(A67="","",IF(COUNTIF('模型清单'!$B$6:$B$105,A67)=0,"模型未登记",IF(OR(B67="",C67="",D67="",E67="",F67="",G67=""),"信息不完整",IF(COUNTIFS($A$6:$A$105,A67,$B$6:$B$105,B67,$E$6:$E$105,E67)&gt;1,"顺位重复",IF(COUNTIFS($A$6:$A$105,A67,$B$6:$B$105,B67,$C$6:$C$105,C67)&gt;1,"渠道重复","待系统验证")))))</f>
        <v/>
      </c>
    </row>
    <row r="68" ht="31" customHeight="1">
      <c r="A68" s="9" t="n"/>
      <c r="B68" s="9" t="n"/>
      <c r="C68" s="9" t="n"/>
      <c r="D68" s="9" t="n"/>
      <c r="E68" s="12" t="n"/>
      <c r="F68" s="11" t="n"/>
      <c r="G68" s="9" t="n"/>
      <c r="H68" s="9" t="n"/>
      <c r="I68" s="10">
        <f>IF(A68="","",IF(COUNTIF('模型清单'!$B$6:$B$105,A68)=0,"模型未登记",IF(OR(B68="",C68="",D68="",E68="",F68="",G68=""),"信息不完整",IF(COUNTIFS($A$6:$A$105,A68,$B$6:$B$105,B68,$E$6:$E$105,E68)&gt;1,"顺位重复",IF(COUNTIFS($A$6:$A$105,A68,$B$6:$B$105,B68,$C$6:$C$105,C68)&gt;1,"渠道重复","待系统验证")))))</f>
        <v/>
      </c>
    </row>
    <row r="69" ht="31" customHeight="1">
      <c r="A69" s="9" t="n"/>
      <c r="B69" s="9" t="n"/>
      <c r="C69" s="9" t="n"/>
      <c r="D69" s="9" t="n"/>
      <c r="E69" s="12" t="n"/>
      <c r="F69" s="11" t="n"/>
      <c r="G69" s="9" t="n"/>
      <c r="H69" s="9" t="n"/>
      <c r="I69" s="10">
        <f>IF(A69="","",IF(COUNTIF('模型清单'!$B$6:$B$105,A69)=0,"模型未登记",IF(OR(B69="",C69="",D69="",E69="",F69="",G69=""),"信息不完整",IF(COUNTIFS($A$6:$A$105,A69,$B$6:$B$105,B69,$E$6:$E$105,E69)&gt;1,"顺位重复",IF(COUNTIFS($A$6:$A$105,A69,$B$6:$B$105,B69,$C$6:$C$105,C69)&gt;1,"渠道重复","待系统验证")))))</f>
        <v/>
      </c>
    </row>
    <row r="70" ht="31" customHeight="1">
      <c r="A70" s="9" t="n"/>
      <c r="B70" s="9" t="n"/>
      <c r="C70" s="9" t="n"/>
      <c r="D70" s="9" t="n"/>
      <c r="E70" s="12" t="n"/>
      <c r="F70" s="11" t="n"/>
      <c r="G70" s="9" t="n"/>
      <c r="H70" s="9" t="n"/>
      <c r="I70" s="10">
        <f>IF(A70="","",IF(COUNTIF('模型清单'!$B$6:$B$105,A70)=0,"模型未登记",IF(OR(B70="",C70="",D70="",E70="",F70="",G70=""),"信息不完整",IF(COUNTIFS($A$6:$A$105,A70,$B$6:$B$105,B70,$E$6:$E$105,E70)&gt;1,"顺位重复",IF(COUNTIFS($A$6:$A$105,A70,$B$6:$B$105,B70,$C$6:$C$105,C70)&gt;1,"渠道重复","待系统验证")))))</f>
        <v/>
      </c>
    </row>
    <row r="71" ht="31" customHeight="1">
      <c r="A71" s="9" t="n"/>
      <c r="B71" s="9" t="n"/>
      <c r="C71" s="9" t="n"/>
      <c r="D71" s="9" t="n"/>
      <c r="E71" s="12" t="n"/>
      <c r="F71" s="11" t="n"/>
      <c r="G71" s="9" t="n"/>
      <c r="H71" s="9" t="n"/>
      <c r="I71" s="10">
        <f>IF(A71="","",IF(COUNTIF('模型清单'!$B$6:$B$105,A71)=0,"模型未登记",IF(OR(B71="",C71="",D71="",E71="",F71="",G71=""),"信息不完整",IF(COUNTIFS($A$6:$A$105,A71,$B$6:$B$105,B71,$E$6:$E$105,E71)&gt;1,"顺位重复",IF(COUNTIFS($A$6:$A$105,A71,$B$6:$B$105,B71,$C$6:$C$105,C71)&gt;1,"渠道重复","待系统验证")))))</f>
        <v/>
      </c>
    </row>
    <row r="72" ht="31" customHeight="1">
      <c r="A72" s="9" t="n"/>
      <c r="B72" s="9" t="n"/>
      <c r="C72" s="9" t="n"/>
      <c r="D72" s="9" t="n"/>
      <c r="E72" s="12" t="n"/>
      <c r="F72" s="11" t="n"/>
      <c r="G72" s="9" t="n"/>
      <c r="H72" s="9" t="n"/>
      <c r="I72" s="10">
        <f>IF(A72="","",IF(COUNTIF('模型清单'!$B$6:$B$105,A72)=0,"模型未登记",IF(OR(B72="",C72="",D72="",E72="",F72="",G72=""),"信息不完整",IF(COUNTIFS($A$6:$A$105,A72,$B$6:$B$105,B72,$E$6:$E$105,E72)&gt;1,"顺位重复",IF(COUNTIFS($A$6:$A$105,A72,$B$6:$B$105,B72,$C$6:$C$105,C72)&gt;1,"渠道重复","待系统验证")))))</f>
        <v/>
      </c>
    </row>
    <row r="73" ht="31" customHeight="1">
      <c r="A73" s="9" t="n"/>
      <c r="B73" s="9" t="n"/>
      <c r="C73" s="9" t="n"/>
      <c r="D73" s="9" t="n"/>
      <c r="E73" s="12" t="n"/>
      <c r="F73" s="11" t="n"/>
      <c r="G73" s="9" t="n"/>
      <c r="H73" s="9" t="n"/>
      <c r="I73" s="10">
        <f>IF(A73="","",IF(COUNTIF('模型清单'!$B$6:$B$105,A73)=0,"模型未登记",IF(OR(B73="",C73="",D73="",E73="",F73="",G73=""),"信息不完整",IF(COUNTIFS($A$6:$A$105,A73,$B$6:$B$105,B73,$E$6:$E$105,E73)&gt;1,"顺位重复",IF(COUNTIFS($A$6:$A$105,A73,$B$6:$B$105,B73,$C$6:$C$105,C73)&gt;1,"渠道重复","待系统验证")))))</f>
        <v/>
      </c>
    </row>
    <row r="74" ht="31" customHeight="1">
      <c r="A74" s="9" t="n"/>
      <c r="B74" s="9" t="n"/>
      <c r="C74" s="9" t="n"/>
      <c r="D74" s="9" t="n"/>
      <c r="E74" s="12" t="n"/>
      <c r="F74" s="11" t="n"/>
      <c r="G74" s="9" t="n"/>
      <c r="H74" s="9" t="n"/>
      <c r="I74" s="10">
        <f>IF(A74="","",IF(COUNTIF('模型清单'!$B$6:$B$105,A74)=0,"模型未登记",IF(OR(B74="",C74="",D74="",E74="",F74="",G74=""),"信息不完整",IF(COUNTIFS($A$6:$A$105,A74,$B$6:$B$105,B74,$E$6:$E$105,E74)&gt;1,"顺位重复",IF(COUNTIFS($A$6:$A$105,A74,$B$6:$B$105,B74,$C$6:$C$105,C74)&gt;1,"渠道重复","待系统验证")))))</f>
        <v/>
      </c>
    </row>
    <row r="75" ht="31" customHeight="1">
      <c r="A75" s="9" t="n"/>
      <c r="B75" s="9" t="n"/>
      <c r="C75" s="9" t="n"/>
      <c r="D75" s="9" t="n"/>
      <c r="E75" s="12" t="n"/>
      <c r="F75" s="11" t="n"/>
      <c r="G75" s="9" t="n"/>
      <c r="H75" s="9" t="n"/>
      <c r="I75" s="10">
        <f>IF(A75="","",IF(COUNTIF('模型清单'!$B$6:$B$105,A75)=0,"模型未登记",IF(OR(B75="",C75="",D75="",E75="",F75="",G75=""),"信息不完整",IF(COUNTIFS($A$6:$A$105,A75,$B$6:$B$105,B75,$E$6:$E$105,E75)&gt;1,"顺位重复",IF(COUNTIFS($A$6:$A$105,A75,$B$6:$B$105,B75,$C$6:$C$105,C75)&gt;1,"渠道重复","待系统验证")))))</f>
        <v/>
      </c>
    </row>
    <row r="76" ht="31" customHeight="1">
      <c r="A76" s="9" t="n"/>
      <c r="B76" s="9" t="n"/>
      <c r="C76" s="9" t="n"/>
      <c r="D76" s="9" t="n"/>
      <c r="E76" s="12" t="n"/>
      <c r="F76" s="11" t="n"/>
      <c r="G76" s="9" t="n"/>
      <c r="H76" s="9" t="n"/>
      <c r="I76" s="10">
        <f>IF(A76="","",IF(COUNTIF('模型清单'!$B$6:$B$105,A76)=0,"模型未登记",IF(OR(B76="",C76="",D76="",E76="",F76="",G76=""),"信息不完整",IF(COUNTIFS($A$6:$A$105,A76,$B$6:$B$105,B76,$E$6:$E$105,E76)&gt;1,"顺位重复",IF(COUNTIFS($A$6:$A$105,A76,$B$6:$B$105,B76,$C$6:$C$105,C76)&gt;1,"渠道重复","待系统验证")))))</f>
        <v/>
      </c>
    </row>
    <row r="77" ht="31" customHeight="1">
      <c r="A77" s="9" t="n"/>
      <c r="B77" s="9" t="n"/>
      <c r="C77" s="9" t="n"/>
      <c r="D77" s="9" t="n"/>
      <c r="E77" s="12" t="n"/>
      <c r="F77" s="11" t="n"/>
      <c r="G77" s="9" t="n"/>
      <c r="H77" s="9" t="n"/>
      <c r="I77" s="10">
        <f>IF(A77="","",IF(COUNTIF('模型清单'!$B$6:$B$105,A77)=0,"模型未登记",IF(OR(B77="",C77="",D77="",E77="",F77="",G77=""),"信息不完整",IF(COUNTIFS($A$6:$A$105,A77,$B$6:$B$105,B77,$E$6:$E$105,E77)&gt;1,"顺位重复",IF(COUNTIFS($A$6:$A$105,A77,$B$6:$B$105,B77,$C$6:$C$105,C77)&gt;1,"渠道重复","待系统验证")))))</f>
        <v/>
      </c>
    </row>
    <row r="78" ht="31" customHeight="1">
      <c r="A78" s="9" t="n"/>
      <c r="B78" s="9" t="n"/>
      <c r="C78" s="9" t="n"/>
      <c r="D78" s="9" t="n"/>
      <c r="E78" s="12" t="n"/>
      <c r="F78" s="11" t="n"/>
      <c r="G78" s="9" t="n"/>
      <c r="H78" s="9" t="n"/>
      <c r="I78" s="10">
        <f>IF(A78="","",IF(COUNTIF('模型清单'!$B$6:$B$105,A78)=0,"模型未登记",IF(OR(B78="",C78="",D78="",E78="",F78="",G78=""),"信息不完整",IF(COUNTIFS($A$6:$A$105,A78,$B$6:$B$105,B78,$E$6:$E$105,E78)&gt;1,"顺位重复",IF(COUNTIFS($A$6:$A$105,A78,$B$6:$B$105,B78,$C$6:$C$105,C78)&gt;1,"渠道重复","待系统验证")))))</f>
        <v/>
      </c>
    </row>
    <row r="79" ht="31" customHeight="1">
      <c r="A79" s="9" t="n"/>
      <c r="B79" s="9" t="n"/>
      <c r="C79" s="9" t="n"/>
      <c r="D79" s="9" t="n"/>
      <c r="E79" s="12" t="n"/>
      <c r="F79" s="11" t="n"/>
      <c r="G79" s="9" t="n"/>
      <c r="H79" s="9" t="n"/>
      <c r="I79" s="10">
        <f>IF(A79="","",IF(COUNTIF('模型清单'!$B$6:$B$105,A79)=0,"模型未登记",IF(OR(B79="",C79="",D79="",E79="",F79="",G79=""),"信息不完整",IF(COUNTIFS($A$6:$A$105,A79,$B$6:$B$105,B79,$E$6:$E$105,E79)&gt;1,"顺位重复",IF(COUNTIFS($A$6:$A$105,A79,$B$6:$B$105,B79,$C$6:$C$105,C79)&gt;1,"渠道重复","待系统验证")))))</f>
        <v/>
      </c>
    </row>
    <row r="80" ht="31" customHeight="1">
      <c r="A80" s="9" t="n"/>
      <c r="B80" s="9" t="n"/>
      <c r="C80" s="9" t="n"/>
      <c r="D80" s="9" t="n"/>
      <c r="E80" s="12" t="n"/>
      <c r="F80" s="11" t="n"/>
      <c r="G80" s="9" t="n"/>
      <c r="H80" s="9" t="n"/>
      <c r="I80" s="10">
        <f>IF(A80="","",IF(COUNTIF('模型清单'!$B$6:$B$105,A80)=0,"模型未登记",IF(OR(B80="",C80="",D80="",E80="",F80="",G80=""),"信息不完整",IF(COUNTIFS($A$6:$A$105,A80,$B$6:$B$105,B80,$E$6:$E$105,E80)&gt;1,"顺位重复",IF(COUNTIFS($A$6:$A$105,A80,$B$6:$B$105,B80,$C$6:$C$105,C80)&gt;1,"渠道重复","待系统验证")))))</f>
        <v/>
      </c>
    </row>
    <row r="81" ht="31" customHeight="1">
      <c r="A81" s="9" t="n"/>
      <c r="B81" s="9" t="n"/>
      <c r="C81" s="9" t="n"/>
      <c r="D81" s="9" t="n"/>
      <c r="E81" s="12" t="n"/>
      <c r="F81" s="11" t="n"/>
      <c r="G81" s="9" t="n"/>
      <c r="H81" s="9" t="n"/>
      <c r="I81" s="10">
        <f>IF(A81="","",IF(COUNTIF('模型清单'!$B$6:$B$105,A81)=0,"模型未登记",IF(OR(B81="",C81="",D81="",E81="",F81="",G81=""),"信息不完整",IF(COUNTIFS($A$6:$A$105,A81,$B$6:$B$105,B81,$E$6:$E$105,E81)&gt;1,"顺位重复",IF(COUNTIFS($A$6:$A$105,A81,$B$6:$B$105,B81,$C$6:$C$105,C81)&gt;1,"渠道重复","待系统验证")))))</f>
        <v/>
      </c>
    </row>
    <row r="82" ht="31" customHeight="1">
      <c r="A82" s="9" t="n"/>
      <c r="B82" s="9" t="n"/>
      <c r="C82" s="9" t="n"/>
      <c r="D82" s="9" t="n"/>
      <c r="E82" s="12" t="n"/>
      <c r="F82" s="11" t="n"/>
      <c r="G82" s="9" t="n"/>
      <c r="H82" s="9" t="n"/>
      <c r="I82" s="10">
        <f>IF(A82="","",IF(COUNTIF('模型清单'!$B$6:$B$105,A82)=0,"模型未登记",IF(OR(B82="",C82="",D82="",E82="",F82="",G82=""),"信息不完整",IF(COUNTIFS($A$6:$A$105,A82,$B$6:$B$105,B82,$E$6:$E$105,E82)&gt;1,"顺位重复",IF(COUNTIFS($A$6:$A$105,A82,$B$6:$B$105,B82,$C$6:$C$105,C82)&gt;1,"渠道重复","待系统验证")))))</f>
        <v/>
      </c>
    </row>
    <row r="83" ht="31" customHeight="1">
      <c r="A83" s="9" t="n"/>
      <c r="B83" s="9" t="n"/>
      <c r="C83" s="9" t="n"/>
      <c r="D83" s="9" t="n"/>
      <c r="E83" s="12" t="n"/>
      <c r="F83" s="11" t="n"/>
      <c r="G83" s="9" t="n"/>
      <c r="H83" s="9" t="n"/>
      <c r="I83" s="10">
        <f>IF(A83="","",IF(COUNTIF('模型清单'!$B$6:$B$105,A83)=0,"模型未登记",IF(OR(B83="",C83="",D83="",E83="",F83="",G83=""),"信息不完整",IF(COUNTIFS($A$6:$A$105,A83,$B$6:$B$105,B83,$E$6:$E$105,E83)&gt;1,"顺位重复",IF(COUNTIFS($A$6:$A$105,A83,$B$6:$B$105,B83,$C$6:$C$105,C83)&gt;1,"渠道重复","待系统验证")))))</f>
        <v/>
      </c>
    </row>
    <row r="84" ht="31" customHeight="1">
      <c r="A84" s="9" t="n"/>
      <c r="B84" s="9" t="n"/>
      <c r="C84" s="9" t="n"/>
      <c r="D84" s="9" t="n"/>
      <c r="E84" s="12" t="n"/>
      <c r="F84" s="11" t="n"/>
      <c r="G84" s="9" t="n"/>
      <c r="H84" s="9" t="n"/>
      <c r="I84" s="10">
        <f>IF(A84="","",IF(COUNTIF('模型清单'!$B$6:$B$105,A84)=0,"模型未登记",IF(OR(B84="",C84="",D84="",E84="",F84="",G84=""),"信息不完整",IF(COUNTIFS($A$6:$A$105,A84,$B$6:$B$105,B84,$E$6:$E$105,E84)&gt;1,"顺位重复",IF(COUNTIFS($A$6:$A$105,A84,$B$6:$B$105,B84,$C$6:$C$105,C84)&gt;1,"渠道重复","待系统验证")))))</f>
        <v/>
      </c>
    </row>
    <row r="85" ht="31" customHeight="1">
      <c r="A85" s="9" t="n"/>
      <c r="B85" s="9" t="n"/>
      <c r="C85" s="9" t="n"/>
      <c r="D85" s="9" t="n"/>
      <c r="E85" s="12" t="n"/>
      <c r="F85" s="11" t="n"/>
      <c r="G85" s="9" t="n"/>
      <c r="H85" s="9" t="n"/>
      <c r="I85" s="10">
        <f>IF(A85="","",IF(COUNTIF('模型清单'!$B$6:$B$105,A85)=0,"模型未登记",IF(OR(B85="",C85="",D85="",E85="",F85="",G85=""),"信息不完整",IF(COUNTIFS($A$6:$A$105,A85,$B$6:$B$105,B85,$E$6:$E$105,E85)&gt;1,"顺位重复",IF(COUNTIFS($A$6:$A$105,A85,$B$6:$B$105,B85,$C$6:$C$105,C85)&gt;1,"渠道重复","待系统验证")))))</f>
        <v/>
      </c>
    </row>
    <row r="86" ht="31" customHeight="1">
      <c r="A86" s="9" t="n"/>
      <c r="B86" s="9" t="n"/>
      <c r="C86" s="9" t="n"/>
      <c r="D86" s="9" t="n"/>
      <c r="E86" s="12" t="n"/>
      <c r="F86" s="11" t="n"/>
      <c r="G86" s="9" t="n"/>
      <c r="H86" s="9" t="n"/>
      <c r="I86" s="10">
        <f>IF(A86="","",IF(COUNTIF('模型清单'!$B$6:$B$105,A86)=0,"模型未登记",IF(OR(B86="",C86="",D86="",E86="",F86="",G86=""),"信息不完整",IF(COUNTIFS($A$6:$A$105,A86,$B$6:$B$105,B86,$E$6:$E$105,E86)&gt;1,"顺位重复",IF(COUNTIFS($A$6:$A$105,A86,$B$6:$B$105,B86,$C$6:$C$105,C86)&gt;1,"渠道重复","待系统验证")))))</f>
        <v/>
      </c>
    </row>
    <row r="87" ht="31" customHeight="1">
      <c r="A87" s="9" t="n"/>
      <c r="B87" s="9" t="n"/>
      <c r="C87" s="9" t="n"/>
      <c r="D87" s="9" t="n"/>
      <c r="E87" s="12" t="n"/>
      <c r="F87" s="11" t="n"/>
      <c r="G87" s="9" t="n"/>
      <c r="H87" s="9" t="n"/>
      <c r="I87" s="10">
        <f>IF(A87="","",IF(COUNTIF('模型清单'!$B$6:$B$105,A87)=0,"模型未登记",IF(OR(B87="",C87="",D87="",E87="",F87="",G87=""),"信息不完整",IF(COUNTIFS($A$6:$A$105,A87,$B$6:$B$105,B87,$E$6:$E$105,E87)&gt;1,"顺位重复",IF(COUNTIFS($A$6:$A$105,A87,$B$6:$B$105,B87,$C$6:$C$105,C87)&gt;1,"渠道重复","待系统验证")))))</f>
        <v/>
      </c>
    </row>
    <row r="88" ht="31" customHeight="1">
      <c r="A88" s="9" t="n"/>
      <c r="B88" s="9" t="n"/>
      <c r="C88" s="9" t="n"/>
      <c r="D88" s="9" t="n"/>
      <c r="E88" s="12" t="n"/>
      <c r="F88" s="11" t="n"/>
      <c r="G88" s="9" t="n"/>
      <c r="H88" s="9" t="n"/>
      <c r="I88" s="10">
        <f>IF(A88="","",IF(COUNTIF('模型清单'!$B$6:$B$105,A88)=0,"模型未登记",IF(OR(B88="",C88="",D88="",E88="",F88="",G88=""),"信息不完整",IF(COUNTIFS($A$6:$A$105,A88,$B$6:$B$105,B88,$E$6:$E$105,E88)&gt;1,"顺位重复",IF(COUNTIFS($A$6:$A$105,A88,$B$6:$B$105,B88,$C$6:$C$105,C88)&gt;1,"渠道重复","待系统验证")))))</f>
        <v/>
      </c>
    </row>
    <row r="89" ht="31" customHeight="1">
      <c r="A89" s="9" t="n"/>
      <c r="B89" s="9" t="n"/>
      <c r="C89" s="9" t="n"/>
      <c r="D89" s="9" t="n"/>
      <c r="E89" s="12" t="n"/>
      <c r="F89" s="11" t="n"/>
      <c r="G89" s="9" t="n"/>
      <c r="H89" s="9" t="n"/>
      <c r="I89" s="10">
        <f>IF(A89="","",IF(COUNTIF('模型清单'!$B$6:$B$105,A89)=0,"模型未登记",IF(OR(B89="",C89="",D89="",E89="",F89="",G89=""),"信息不完整",IF(COUNTIFS($A$6:$A$105,A89,$B$6:$B$105,B89,$E$6:$E$105,E89)&gt;1,"顺位重复",IF(COUNTIFS($A$6:$A$105,A89,$B$6:$B$105,B89,$C$6:$C$105,C89)&gt;1,"渠道重复","待系统验证")))))</f>
        <v/>
      </c>
    </row>
    <row r="90" ht="31" customHeight="1">
      <c r="A90" s="9" t="n"/>
      <c r="B90" s="9" t="n"/>
      <c r="C90" s="9" t="n"/>
      <c r="D90" s="9" t="n"/>
      <c r="E90" s="12" t="n"/>
      <c r="F90" s="11" t="n"/>
      <c r="G90" s="9" t="n"/>
      <c r="H90" s="9" t="n"/>
      <c r="I90" s="10">
        <f>IF(A90="","",IF(COUNTIF('模型清单'!$B$6:$B$105,A90)=0,"模型未登记",IF(OR(B90="",C90="",D90="",E90="",F90="",G90=""),"信息不完整",IF(COUNTIFS($A$6:$A$105,A90,$B$6:$B$105,B90,$E$6:$E$105,E90)&gt;1,"顺位重复",IF(COUNTIFS($A$6:$A$105,A90,$B$6:$B$105,B90,$C$6:$C$105,C90)&gt;1,"渠道重复","待系统验证")))))</f>
        <v/>
      </c>
    </row>
    <row r="91" ht="31" customHeight="1">
      <c r="A91" s="9" t="n"/>
      <c r="B91" s="9" t="n"/>
      <c r="C91" s="9" t="n"/>
      <c r="D91" s="9" t="n"/>
      <c r="E91" s="12" t="n"/>
      <c r="F91" s="11" t="n"/>
      <c r="G91" s="9" t="n"/>
      <c r="H91" s="9" t="n"/>
      <c r="I91" s="10">
        <f>IF(A91="","",IF(COUNTIF('模型清单'!$B$6:$B$105,A91)=0,"模型未登记",IF(OR(B91="",C91="",D91="",E91="",F91="",G91=""),"信息不完整",IF(COUNTIFS($A$6:$A$105,A91,$B$6:$B$105,B91,$E$6:$E$105,E91)&gt;1,"顺位重复",IF(COUNTIFS($A$6:$A$105,A91,$B$6:$B$105,B91,$C$6:$C$105,C91)&gt;1,"渠道重复","待系统验证")))))</f>
        <v/>
      </c>
    </row>
    <row r="92" ht="31" customHeight="1">
      <c r="A92" s="9" t="n"/>
      <c r="B92" s="9" t="n"/>
      <c r="C92" s="9" t="n"/>
      <c r="D92" s="9" t="n"/>
      <c r="E92" s="12" t="n"/>
      <c r="F92" s="11" t="n"/>
      <c r="G92" s="9" t="n"/>
      <c r="H92" s="9" t="n"/>
      <c r="I92" s="10">
        <f>IF(A92="","",IF(COUNTIF('模型清单'!$B$6:$B$105,A92)=0,"模型未登记",IF(OR(B92="",C92="",D92="",E92="",F92="",G92=""),"信息不完整",IF(COUNTIFS($A$6:$A$105,A92,$B$6:$B$105,B92,$E$6:$E$105,E92)&gt;1,"顺位重复",IF(COUNTIFS($A$6:$A$105,A92,$B$6:$B$105,B92,$C$6:$C$105,C92)&gt;1,"渠道重复","待系统验证")))))</f>
        <v/>
      </c>
    </row>
    <row r="93" ht="31" customHeight="1">
      <c r="A93" s="9" t="n"/>
      <c r="B93" s="9" t="n"/>
      <c r="C93" s="9" t="n"/>
      <c r="D93" s="9" t="n"/>
      <c r="E93" s="12" t="n"/>
      <c r="F93" s="11" t="n"/>
      <c r="G93" s="9" t="n"/>
      <c r="H93" s="9" t="n"/>
      <c r="I93" s="10">
        <f>IF(A93="","",IF(COUNTIF('模型清单'!$B$6:$B$105,A93)=0,"模型未登记",IF(OR(B93="",C93="",D93="",E93="",F93="",G93=""),"信息不完整",IF(COUNTIFS($A$6:$A$105,A93,$B$6:$B$105,B93,$E$6:$E$105,E93)&gt;1,"顺位重复",IF(COUNTIFS($A$6:$A$105,A93,$B$6:$B$105,B93,$C$6:$C$105,C93)&gt;1,"渠道重复","待系统验证")))))</f>
        <v/>
      </c>
    </row>
    <row r="94" ht="31" customHeight="1">
      <c r="A94" s="9" t="n"/>
      <c r="B94" s="9" t="n"/>
      <c r="C94" s="9" t="n"/>
      <c r="D94" s="9" t="n"/>
      <c r="E94" s="12" t="n"/>
      <c r="F94" s="11" t="n"/>
      <c r="G94" s="9" t="n"/>
      <c r="H94" s="9" t="n"/>
      <c r="I94" s="10">
        <f>IF(A94="","",IF(COUNTIF('模型清单'!$B$6:$B$105,A94)=0,"模型未登记",IF(OR(B94="",C94="",D94="",E94="",F94="",G94=""),"信息不完整",IF(COUNTIFS($A$6:$A$105,A94,$B$6:$B$105,B94,$E$6:$E$105,E94)&gt;1,"顺位重复",IF(COUNTIFS($A$6:$A$105,A94,$B$6:$B$105,B94,$C$6:$C$105,C94)&gt;1,"渠道重复","待系统验证")))))</f>
        <v/>
      </c>
    </row>
    <row r="95" ht="31" customHeight="1">
      <c r="A95" s="9" t="n"/>
      <c r="B95" s="9" t="n"/>
      <c r="C95" s="9" t="n"/>
      <c r="D95" s="9" t="n"/>
      <c r="E95" s="12" t="n"/>
      <c r="F95" s="11" t="n"/>
      <c r="G95" s="9" t="n"/>
      <c r="H95" s="9" t="n"/>
      <c r="I95" s="10">
        <f>IF(A95="","",IF(COUNTIF('模型清单'!$B$6:$B$105,A95)=0,"模型未登记",IF(OR(B95="",C95="",D95="",E95="",F95="",G95=""),"信息不完整",IF(COUNTIFS($A$6:$A$105,A95,$B$6:$B$105,B95,$E$6:$E$105,E95)&gt;1,"顺位重复",IF(COUNTIFS($A$6:$A$105,A95,$B$6:$B$105,B95,$C$6:$C$105,C95)&gt;1,"渠道重复","待系统验证")))))</f>
        <v/>
      </c>
    </row>
    <row r="96" ht="31" customHeight="1">
      <c r="A96" s="9" t="n"/>
      <c r="B96" s="9" t="n"/>
      <c r="C96" s="9" t="n"/>
      <c r="D96" s="9" t="n"/>
      <c r="E96" s="12" t="n"/>
      <c r="F96" s="11" t="n"/>
      <c r="G96" s="9" t="n"/>
      <c r="H96" s="9" t="n"/>
      <c r="I96" s="10">
        <f>IF(A96="","",IF(COUNTIF('模型清单'!$B$6:$B$105,A96)=0,"模型未登记",IF(OR(B96="",C96="",D96="",E96="",F96="",G96=""),"信息不完整",IF(COUNTIFS($A$6:$A$105,A96,$B$6:$B$105,B96,$E$6:$E$105,E96)&gt;1,"顺位重复",IF(COUNTIFS($A$6:$A$105,A96,$B$6:$B$105,B96,$C$6:$C$105,C96)&gt;1,"渠道重复","待系统验证")))))</f>
        <v/>
      </c>
    </row>
    <row r="97" ht="31" customHeight="1">
      <c r="A97" s="9" t="n"/>
      <c r="B97" s="9" t="n"/>
      <c r="C97" s="9" t="n"/>
      <c r="D97" s="9" t="n"/>
      <c r="E97" s="12" t="n"/>
      <c r="F97" s="11" t="n"/>
      <c r="G97" s="9" t="n"/>
      <c r="H97" s="9" t="n"/>
      <c r="I97" s="10">
        <f>IF(A97="","",IF(COUNTIF('模型清单'!$B$6:$B$105,A97)=0,"模型未登记",IF(OR(B97="",C97="",D97="",E97="",F97="",G97=""),"信息不完整",IF(COUNTIFS($A$6:$A$105,A97,$B$6:$B$105,B97,$E$6:$E$105,E97)&gt;1,"顺位重复",IF(COUNTIFS($A$6:$A$105,A97,$B$6:$B$105,B97,$C$6:$C$105,C97)&gt;1,"渠道重复","待系统验证")))))</f>
        <v/>
      </c>
    </row>
    <row r="98" ht="31" customHeight="1">
      <c r="A98" s="9" t="n"/>
      <c r="B98" s="9" t="n"/>
      <c r="C98" s="9" t="n"/>
      <c r="D98" s="9" t="n"/>
      <c r="E98" s="12" t="n"/>
      <c r="F98" s="11" t="n"/>
      <c r="G98" s="9" t="n"/>
      <c r="H98" s="9" t="n"/>
      <c r="I98" s="10">
        <f>IF(A98="","",IF(COUNTIF('模型清单'!$B$6:$B$105,A98)=0,"模型未登记",IF(OR(B98="",C98="",D98="",E98="",F98="",G98=""),"信息不完整",IF(COUNTIFS($A$6:$A$105,A98,$B$6:$B$105,B98,$E$6:$E$105,E98)&gt;1,"顺位重复",IF(COUNTIFS($A$6:$A$105,A98,$B$6:$B$105,B98,$C$6:$C$105,C98)&gt;1,"渠道重复","待系统验证")))))</f>
        <v/>
      </c>
    </row>
    <row r="99" ht="31" customHeight="1">
      <c r="A99" s="9" t="n"/>
      <c r="B99" s="9" t="n"/>
      <c r="C99" s="9" t="n"/>
      <c r="D99" s="9" t="n"/>
      <c r="E99" s="12" t="n"/>
      <c r="F99" s="11" t="n"/>
      <c r="G99" s="9" t="n"/>
      <c r="H99" s="9" t="n"/>
      <c r="I99" s="10">
        <f>IF(A99="","",IF(COUNTIF('模型清单'!$B$6:$B$105,A99)=0,"模型未登记",IF(OR(B99="",C99="",D99="",E99="",F99="",G99=""),"信息不完整",IF(COUNTIFS($A$6:$A$105,A99,$B$6:$B$105,B99,$E$6:$E$105,E99)&gt;1,"顺位重复",IF(COUNTIFS($A$6:$A$105,A99,$B$6:$B$105,B99,$C$6:$C$105,C99)&gt;1,"渠道重复","待系统验证")))))</f>
        <v/>
      </c>
    </row>
    <row r="100" ht="31" customHeight="1">
      <c r="A100" s="9" t="n"/>
      <c r="B100" s="9" t="n"/>
      <c r="C100" s="9" t="n"/>
      <c r="D100" s="9" t="n"/>
      <c r="E100" s="12" t="n"/>
      <c r="F100" s="11" t="n"/>
      <c r="G100" s="9" t="n"/>
      <c r="H100" s="9" t="n"/>
      <c r="I100" s="10">
        <f>IF(A100="","",IF(COUNTIF('模型清单'!$B$6:$B$105,A100)=0,"模型未登记",IF(OR(B100="",C100="",D100="",E100="",F100="",G100=""),"信息不完整",IF(COUNTIFS($A$6:$A$105,A100,$B$6:$B$105,B100,$E$6:$E$105,E100)&gt;1,"顺位重复",IF(COUNTIFS($A$6:$A$105,A100,$B$6:$B$105,B100,$C$6:$C$105,C100)&gt;1,"渠道重复","待系统验证")))))</f>
        <v/>
      </c>
    </row>
    <row r="101" ht="31" customHeight="1">
      <c r="A101" s="9" t="n"/>
      <c r="B101" s="9" t="n"/>
      <c r="C101" s="9" t="n"/>
      <c r="D101" s="9" t="n"/>
      <c r="E101" s="12" t="n"/>
      <c r="F101" s="11" t="n"/>
      <c r="G101" s="9" t="n"/>
      <c r="H101" s="9" t="n"/>
      <c r="I101" s="10">
        <f>IF(A101="","",IF(COUNTIF('模型清单'!$B$6:$B$105,A101)=0,"模型未登记",IF(OR(B101="",C101="",D101="",E101="",F101="",G101=""),"信息不完整",IF(COUNTIFS($A$6:$A$105,A101,$B$6:$B$105,B101,$E$6:$E$105,E101)&gt;1,"顺位重复",IF(COUNTIFS($A$6:$A$105,A101,$B$6:$B$105,B101,$C$6:$C$105,C101)&gt;1,"渠道重复","待系统验证")))))</f>
        <v/>
      </c>
    </row>
    <row r="102" ht="31" customHeight="1">
      <c r="A102" s="9" t="n"/>
      <c r="B102" s="9" t="n"/>
      <c r="C102" s="9" t="n"/>
      <c r="D102" s="9" t="n"/>
      <c r="E102" s="12" t="n"/>
      <c r="F102" s="11" t="n"/>
      <c r="G102" s="9" t="n"/>
      <c r="H102" s="9" t="n"/>
      <c r="I102" s="10">
        <f>IF(A102="","",IF(COUNTIF('模型清单'!$B$6:$B$105,A102)=0,"模型未登记",IF(OR(B102="",C102="",D102="",E102="",F102="",G102=""),"信息不完整",IF(COUNTIFS($A$6:$A$105,A102,$B$6:$B$105,B102,$E$6:$E$105,E102)&gt;1,"顺位重复",IF(COUNTIFS($A$6:$A$105,A102,$B$6:$B$105,B102,$C$6:$C$105,C102)&gt;1,"渠道重复","待系统验证")))))</f>
        <v/>
      </c>
    </row>
    <row r="103" ht="31" customHeight="1">
      <c r="A103" s="9" t="n"/>
      <c r="B103" s="9" t="n"/>
      <c r="C103" s="9" t="n"/>
      <c r="D103" s="9" t="n"/>
      <c r="E103" s="12" t="n"/>
      <c r="F103" s="11" t="n"/>
      <c r="G103" s="9" t="n"/>
      <c r="H103" s="9" t="n"/>
      <c r="I103" s="10">
        <f>IF(A103="","",IF(COUNTIF('模型清单'!$B$6:$B$105,A103)=0,"模型未登记",IF(OR(B103="",C103="",D103="",E103="",F103="",G103=""),"信息不完整",IF(COUNTIFS($A$6:$A$105,A103,$B$6:$B$105,B103,$E$6:$E$105,E103)&gt;1,"顺位重复",IF(COUNTIFS($A$6:$A$105,A103,$B$6:$B$105,B103,$C$6:$C$105,C103)&gt;1,"渠道重复","待系统验证")))))</f>
        <v/>
      </c>
    </row>
    <row r="104" ht="31" customHeight="1">
      <c r="A104" s="9" t="n"/>
      <c r="B104" s="9" t="n"/>
      <c r="C104" s="9" t="n"/>
      <c r="D104" s="9" t="n"/>
      <c r="E104" s="12" t="n"/>
      <c r="F104" s="11" t="n"/>
      <c r="G104" s="9" t="n"/>
      <c r="H104" s="9" t="n"/>
      <c r="I104" s="10">
        <f>IF(A104="","",IF(COUNTIF('模型清单'!$B$6:$B$105,A104)=0,"模型未登记",IF(OR(B104="",C104="",D104="",E104="",F104="",G104=""),"信息不完整",IF(COUNTIFS($A$6:$A$105,A104,$B$6:$B$105,B104,$E$6:$E$105,E104)&gt;1,"顺位重复",IF(COUNTIFS($A$6:$A$105,A104,$B$6:$B$105,B104,$C$6:$C$105,C104)&gt;1,"渠道重复","待系统验证")))))</f>
        <v/>
      </c>
    </row>
    <row r="105" ht="31" customHeight="1">
      <c r="A105" s="9" t="n"/>
      <c r="B105" s="9" t="n"/>
      <c r="C105" s="9" t="n"/>
      <c r="D105" s="9" t="n"/>
      <c r="E105" s="12" t="n"/>
      <c r="F105" s="11" t="n"/>
      <c r="G105" s="9" t="n"/>
      <c r="H105" s="9" t="n"/>
      <c r="I105" s="10">
        <f>IF(A105="","",IF(COUNTIF('模型清单'!$B$6:$B$105,A105)=0,"模型未登记",IF(OR(B105="",C105="",D105="",E105="",F105="",G105=""),"信息不完整",IF(COUNTIFS($A$6:$A$105,A105,$B$6:$B$105,B105,$E$6:$E$105,E105)&gt;1,"顺位重复",IF(COUNTIFS($A$6:$A$105,A105,$B$6:$B$105,B105,$C$6:$C$105,C105)&gt;1,"渠道重复","待系统验证")))))</f>
        <v/>
      </c>
    </row>
  </sheetData>
  <conditionalFormatting sqref="I6:I105">
    <cfRule type="expression" priority="1" dxfId="0">
      <formula>AND($I6&lt;&gt;"",$I6&lt;&gt;"待系统验证")</formula>
    </cfRule>
  </conditionalFormatting>
  <dataValidations count="4">
    <dataValidation sqref="B6:B105" showDropDown="0" showInputMessage="0" showErrorMessage="0" allowBlank="0" type="list">
      <formula1>"测试,生产"</formula1>
    </dataValidation>
    <dataValidation sqref="E6:E105" showDropDown="0" showInputMessage="0" showErrorMessage="0" allowBlank="0" type="whole" operator="between">
      <formula1>1</formula1>
      <formula2>20</formula2>
    </dataValidation>
    <dataValidation sqref="F6:F105" showDropDown="0" showInputMessage="0" showErrorMessage="0" allowBlank="0" type="list">
      <formula1>"停用,启用"</formula1>
    </dataValidation>
    <dataValidation sqref="G6:G105" showDropDown="0" showInputMessage="0" showErrorMessage="0" allowBlank="0" type="list">
      <formula1>"尝试下一顺位,拒绝新会话"</formula1>
    </dataValidation>
  </dataValidations>
  <printOptions horizontalCentered="0"/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0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25" customWidth="1" min="4" max="4"/>
    <col width="28" customWidth="1" min="5" max="5"/>
    <col width="21" customWidth="1" min="6" max="6"/>
    <col width="24" customWidth="1" min="7" max="7"/>
    <col width="15" customWidth="1" min="8" max="8"/>
    <col width="19" customWidth="1" min="9" max="9"/>
  </cols>
  <sheetData>
    <row r="1">
      <c r="A1" s="1" t="inlineStr">
        <is>
          <t>模型清单</t>
        </is>
      </c>
    </row>
    <row r="2">
      <c r="A2" s="2" t="inlineStr">
        <is>
          <t>一个对外模型名只登记一次；模型能力为目标配置，须逐渠道核验。</t>
        </is>
      </c>
    </row>
    <row r="3">
      <c r="A3" s="3" t="inlineStr">
        <is>
          <t>浅黄色单元格可编辑；“本地检查”仅检查表内填写，正式生效仍需系统验证与发布。</t>
        </is>
      </c>
    </row>
    <row r="5" ht="31" customHeight="1">
      <c r="A5" s="8" t="inlineStr">
        <is>
          <t>显示名称</t>
        </is>
      </c>
      <c r="B5" s="8" t="inlineStr">
        <is>
          <t>对外模型名</t>
        </is>
      </c>
      <c r="C5" s="8" t="inlineStr">
        <is>
          <t>提供方</t>
        </is>
      </c>
      <c r="D5" s="8" t="inlineStr">
        <is>
          <t>输入类型</t>
        </is>
      </c>
      <c r="E5" s="8" t="inlineStr">
        <is>
          <t>思考档位</t>
        </is>
      </c>
      <c r="F5" s="8" t="inlineStr">
        <is>
          <t>结构化输出</t>
        </is>
      </c>
      <c r="G5" s="8" t="inlineStr">
        <is>
          <t>目标输出上限 Token</t>
        </is>
      </c>
      <c r="H5" s="8" t="inlineStr">
        <is>
          <t>发布意向</t>
        </is>
      </c>
      <c r="I5" s="8" t="inlineStr">
        <is>
          <t>本地检查</t>
        </is>
      </c>
    </row>
    <row r="6" ht="31" customHeight="1">
      <c r="A6" s="9" t="inlineStr">
        <is>
          <t>Gemini 3.6 Flash</t>
        </is>
      </c>
      <c r="B6" s="9" t="inlineStr">
        <is>
          <t>gemini-3.6-flash</t>
        </is>
      </c>
      <c r="C6" s="9" t="inlineStr">
        <is>
          <t>Gemini</t>
        </is>
      </c>
      <c r="D6" s="9" t="inlineStr">
        <is>
          <t>文本、图片、文件</t>
        </is>
      </c>
      <c r="E6" s="9" t="inlineStr">
        <is>
          <t>自动、低、中、高</t>
        </is>
      </c>
      <c r="F6" s="9" t="inlineStr">
        <is>
          <t>原生 JSON Schema</t>
        </is>
      </c>
      <c r="G6" s="14" t="n">
        <v>65536</v>
      </c>
      <c r="H6" s="11" t="inlineStr">
        <is>
          <t>暂不发布</t>
        </is>
      </c>
      <c r="I6" s="10" t="str">
        <f>IF(B6="","",IF(COUNTIF($B$6:$B$105,B6)&gt;1,"模型重复",IF(OR(A6="",C6="",D6="",H6=""),"信息不完整","待系统验证")))</f>
        <v>待系统验证</v>
      </c>
    </row>
    <row r="7" ht="31" customHeight="1">
      <c r="A7" s="9" t="inlineStr">
        <is>
          <t>Gemini 4 Argon</t>
        </is>
      </c>
      <c r="B7" s="9" t="inlineStr">
        <is>
          <t>gemini-4-argon</t>
        </is>
      </c>
      <c r="C7" s="9" t="inlineStr">
        <is>
          <t>Gemini</t>
        </is>
      </c>
      <c r="D7" s="9" t="inlineStr">
        <is>
          <t>文本、图片、文件</t>
        </is>
      </c>
      <c r="E7" s="9" t="inlineStr">
        <is>
          <t>低、中、高</t>
        </is>
      </c>
      <c r="F7" s="9" t="inlineStr">
        <is>
          <t>原生 JSON Schema</t>
        </is>
      </c>
      <c r="G7" s="14" t="n">
        <v>32768</v>
      </c>
      <c r="H7" s="11" t="inlineStr">
        <is>
          <t>暂不发布</t>
        </is>
      </c>
      <c r="I7" s="10" t="str">
        <f>IF(B7="","",IF(COUNTIF($B$6:$B$105,B7)&gt;1,"模型重复",IF(OR(A7="",C7="",D7="",H7=""),"信息不完整","待系统验证")))</f>
        <v>待系统验证</v>
      </c>
    </row>
    <row r="8" ht="31" customHeight="1">
      <c r="A8" s="9" t="inlineStr">
        <is>
          <t>GPT-6 Astra</t>
        </is>
      </c>
      <c r="B8" s="9" t="inlineStr">
        <is>
          <t>gpt-6-astra</t>
        </is>
      </c>
      <c r="C8" s="9" t="inlineStr">
        <is>
          <t>OpenAI</t>
        </is>
      </c>
      <c r="D8" s="9" t="inlineStr">
        <is>
          <t>文本、图片</t>
        </is>
      </c>
      <c r="E8" s="9" t="inlineStr">
        <is>
          <t>自动</t>
        </is>
      </c>
      <c r="F8" s="9" t="inlineStr">
        <is>
          <t>后校验</t>
        </is>
      </c>
      <c r="G8" s="14" t="n">
        <v>16384</v>
      </c>
      <c r="H8" s="11" t="inlineStr">
        <is>
          <t>暂不发布</t>
        </is>
      </c>
      <c r="I8" s="10" t="str">
        <f>IF(B8="","",IF(COUNTIF($B$6:$B$105,B8)&gt;1,"模型重复",IF(OR(A8="",C8="",D8="",H8=""),"信息不完整","待系统验证")))</f>
        <v>待系统验证</v>
      </c>
    </row>
    <row r="9" ht="31" customHeight="1">
      <c r="A9" s="9" t="inlineStr">
        <is>
          <t>GPT-6 Sol</t>
        </is>
      </c>
      <c r="B9" s="9" t="inlineStr">
        <is>
          <t>gpt-6-sol</t>
        </is>
      </c>
      <c r="C9" s="9" t="inlineStr">
        <is>
          <t>OpenAI</t>
        </is>
      </c>
      <c r="D9" s="9" t="inlineStr">
        <is>
          <t>文本</t>
        </is>
      </c>
      <c r="E9" s="9" t="inlineStr">
        <is>
          <t>自动</t>
        </is>
      </c>
      <c r="F9" s="9" t="inlineStr">
        <is>
          <t>后校验</t>
        </is>
      </c>
      <c r="G9" s="14" t="n">
        <v>16384</v>
      </c>
      <c r="H9" s="11" t="inlineStr">
        <is>
          <t>暂不发布</t>
        </is>
      </c>
      <c r="I9" s="10" t="str">
        <f>IF(B9="","",IF(COUNTIF($B$6:$B$105,B9)&gt;1,"模型重复",IF(OR(A9="",C9="",D9="",H9=""),"信息不完整","待系统验证")))</f>
        <v>待系统验证</v>
      </c>
    </row>
    <row r="10" ht="31" customHeight="1">
      <c r="A10" s="9" t="inlineStr">
        <is>
          <t>GPT-6 Luna</t>
        </is>
      </c>
      <c r="B10" s="9" t="inlineStr">
        <is>
          <t>gpt-6-luna</t>
        </is>
      </c>
      <c r="C10" s="9" t="inlineStr">
        <is>
          <t>OpenAI</t>
        </is>
      </c>
      <c r="D10" s="9" t="inlineStr">
        <is>
          <t>文本</t>
        </is>
      </c>
      <c r="E10" s="9" t="inlineStr">
        <is>
          <t>自动</t>
        </is>
      </c>
      <c r="F10" s="9" t="inlineStr">
        <is>
          <t>后校验</t>
        </is>
      </c>
      <c r="G10" s="14" t="n">
        <v>8192</v>
      </c>
      <c r="H10" s="11" t="inlineStr">
        <is>
          <t>暂不发布</t>
        </is>
      </c>
      <c r="I10" s="10" t="str">
        <f>IF(B10="","",IF(COUNTIF($B$6:$B$105,B10)&gt;1,"模型重复",IF(OR(A10="",C10="",D10="",H10=""),"信息不完整","待系统验证")))</f>
        <v>待系统验证</v>
      </c>
    </row>
    <row r="11" ht="31" customHeight="1">
      <c r="A11" s="9" t="inlineStr">
        <is>
          <t>GPT-6.1 Terra</t>
        </is>
      </c>
      <c r="B11" s="9" t="inlineStr">
        <is>
          <t>gpt-6.1-terra</t>
        </is>
      </c>
      <c r="C11" s="9" t="inlineStr">
        <is>
          <t>OpenAI</t>
        </is>
      </c>
      <c r="D11" s="9" t="inlineStr">
        <is>
          <t>文本、图片</t>
        </is>
      </c>
      <c r="E11" s="9" t="inlineStr">
        <is>
          <t>自动</t>
        </is>
      </c>
      <c r="F11" s="9" t="inlineStr">
        <is>
          <t>后校验</t>
        </is>
      </c>
      <c r="G11" s="14" t="n">
        <v>8192</v>
      </c>
      <c r="H11" s="11" t="inlineStr">
        <is>
          <t>暂不发布</t>
        </is>
      </c>
      <c r="I11" s="10" t="str">
        <f>IF(B11="","",IF(COUNTIF($B$6:$B$105,B11)&gt;1,"模型重复",IF(OR(A11="",C11="",D11="",H11=""),"信息不完整","待系统验证")))</f>
        <v>待系统验证</v>
      </c>
    </row>
    <row r="12" ht="31" customHeight="1">
      <c r="A12" s="9" t="inlineStr">
        <is>
          <t>GPT-5.5</t>
        </is>
      </c>
      <c r="B12" s="9" t="inlineStr">
        <is>
          <t>gpt-5.5</t>
        </is>
      </c>
      <c r="C12" s="9" t="inlineStr">
        <is>
          <t>OpenAI</t>
        </is>
      </c>
      <c r="D12" s="9" t="inlineStr">
        <is>
          <t>文本</t>
        </is>
      </c>
      <c r="E12" s="9" t="inlineStr">
        <is>
          <t>自动</t>
        </is>
      </c>
      <c r="F12" s="9" t="inlineStr">
        <is>
          <t>后校验</t>
        </is>
      </c>
      <c r="G12" s="14" t="n">
        <v>8192</v>
      </c>
      <c r="H12" s="11" t="inlineStr">
        <is>
          <t>暂不发布</t>
        </is>
      </c>
      <c r="I12" s="10" t="str">
        <f>IF(B12="","",IF(COUNTIF($B$6:$B$105,B12)&gt;1,"模型重复",IF(OR(A12="",C12="",D12="",H12=""),"信息不完整","待系统验证")))</f>
        <v>待系统验证</v>
      </c>
    </row>
    <row r="13" ht="31" customHeight="1">
      <c r="A13" s="9" t="inlineStr">
        <is>
          <t>Claude Fable 5.1</t>
        </is>
      </c>
      <c r="B13" s="9" t="inlineStr">
        <is>
          <t>claude-fable-5-1</t>
        </is>
      </c>
      <c r="C13" s="9" t="inlineStr">
        <is>
          <t>Anthropic</t>
        </is>
      </c>
      <c r="D13" s="9" t="inlineStr">
        <is>
          <t>文本、图片</t>
        </is>
      </c>
      <c r="E13" s="9" t="inlineStr">
        <is>
          <t>自动</t>
        </is>
      </c>
      <c r="F13" s="9" t="inlineStr">
        <is>
          <t>后校验</t>
        </is>
      </c>
      <c r="G13" s="14" t="n">
        <v>16384</v>
      </c>
      <c r="H13" s="11" t="inlineStr">
        <is>
          <t>暂不发布</t>
        </is>
      </c>
      <c r="I13" s="10" t="str">
        <f>IF(B13="","",IF(COUNTIF($B$6:$B$105,B13)&gt;1,"模型重复",IF(OR(A13="",C13="",D13="",H13=""),"信息不完整","待系统验证")))</f>
        <v>待系统验证</v>
      </c>
    </row>
    <row r="14" ht="31" customHeight="1">
      <c r="A14" s="9" t="inlineStr">
        <is>
          <t>Claude Opus 5.5</t>
        </is>
      </c>
      <c r="B14" s="9" t="inlineStr">
        <is>
          <t>claude-opus-5-5</t>
        </is>
      </c>
      <c r="C14" s="9" t="inlineStr">
        <is>
          <t>Anthropic</t>
        </is>
      </c>
      <c r="D14" s="9" t="inlineStr">
        <is>
          <t>文本、图片</t>
        </is>
      </c>
      <c r="E14" s="9" t="inlineStr">
        <is>
          <t>自动</t>
        </is>
      </c>
      <c r="F14" s="9" t="inlineStr">
        <is>
          <t>后校验</t>
        </is>
      </c>
      <c r="G14" s="14" t="n">
        <v>16384</v>
      </c>
      <c r="H14" s="11" t="inlineStr">
        <is>
          <t>暂不发布</t>
        </is>
      </c>
      <c r="I14" s="10" t="str">
        <f>IF(B14="","",IF(COUNTIF($B$6:$B$105,B14)&gt;1,"模型重复",IF(OR(A14="",C14="",D14="",H14=""),"信息不完整","待系统验证")))</f>
        <v>待系统验证</v>
      </c>
    </row>
    <row r="15" ht="31" customHeight="1">
      <c r="A15" s="9" t="inlineStr">
        <is>
          <t>Claude Sonnet 5.5</t>
        </is>
      </c>
      <c r="B15" s="9" t="inlineStr">
        <is>
          <t>claude-sonnet-5-5</t>
        </is>
      </c>
      <c r="C15" s="9" t="inlineStr">
        <is>
          <t>Anthropic</t>
        </is>
      </c>
      <c r="D15" s="9" t="inlineStr">
        <is>
          <t>文本、图片</t>
        </is>
      </c>
      <c r="E15" s="9" t="inlineStr">
        <is>
          <t>自动</t>
        </is>
      </c>
      <c r="F15" s="9" t="inlineStr">
        <is>
          <t>后校验</t>
        </is>
      </c>
      <c r="G15" s="14" t="n">
        <v>16384</v>
      </c>
      <c r="H15" s="11" t="inlineStr">
        <is>
          <t>暂不发布</t>
        </is>
      </c>
      <c r="I15" s="10" t="str">
        <f>IF(B15="","",IF(COUNTIF($B$6:$B$105,B15)&gt;1,"模型重复",IF(OR(A15="",C15="",D15="",H15=""),"信息不完整","待系统验证")))</f>
        <v>待系统验证</v>
      </c>
    </row>
    <row r="16" ht="31" customHeight="1">
      <c r="A16" s="9" t="inlineStr">
        <is>
          <t>Claude Haiku 5.5</t>
        </is>
      </c>
      <c r="B16" s="9" t="inlineStr">
        <is>
          <t>claude-haiku-5-5</t>
        </is>
      </c>
      <c r="C16" s="9" t="inlineStr">
        <is>
          <t>Anthropic</t>
        </is>
      </c>
      <c r="D16" s="9" t="inlineStr">
        <is>
          <t>文本、图片</t>
        </is>
      </c>
      <c r="E16" s="9" t="inlineStr">
        <is>
          <t>自动</t>
        </is>
      </c>
      <c r="F16" s="9" t="inlineStr">
        <is>
          <t>后校验</t>
        </is>
      </c>
      <c r="G16" s="14" t="n">
        <v>8192</v>
      </c>
      <c r="H16" s="11" t="inlineStr">
        <is>
          <t>暂不发布</t>
        </is>
      </c>
      <c r="I16" s="10" t="str">
        <f>IF(B16="","",IF(COUNTIF($B$6:$B$105,B16)&gt;1,"模型重复",IF(OR(A16="",C16="",D16="",H16=""),"信息不完整","待系统验证")))</f>
        <v>待系统验证</v>
      </c>
    </row>
    <row r="17" ht="31" customHeight="1">
      <c r="A17" s="9" t="inlineStr">
        <is>
          <t>Gemini 3.8 Flash</t>
        </is>
      </c>
      <c r="B17" s="9" t="inlineStr">
        <is>
          <t>gemini-3.8-flash</t>
        </is>
      </c>
      <c r="C17" s="9" t="inlineStr">
        <is>
          <t>Gemini</t>
        </is>
      </c>
      <c r="D17" s="9" t="inlineStr">
        <is>
          <t>文本、图片</t>
        </is>
      </c>
      <c r="E17" s="9" t="inlineStr">
        <is>
          <t>自动</t>
        </is>
      </c>
      <c r="F17" s="9" t="inlineStr">
        <is>
          <t>后校验</t>
        </is>
      </c>
      <c r="G17" s="14" t="n">
        <v>16384</v>
      </c>
      <c r="H17" s="11" t="inlineStr">
        <is>
          <t>暂不发布</t>
        </is>
      </c>
      <c r="I17" s="10" t="str">
        <f>IF(B17="","",IF(COUNTIF($B$6:$B$105,B17)&gt;1,"模型重复",IF(OR(A17="",C17="",D17="",H17=""),"信息不完整","待系统验证")))</f>
        <v>待系统验证</v>
      </c>
    </row>
    <row r="18" ht="31" customHeight="1">
      <c r="A18" s="9" t="inlineStr">
        <is>
          <t>Gemini 3.5 Flash-Lite</t>
        </is>
      </c>
      <c r="B18" s="9" t="inlineStr">
        <is>
          <t>gemini-3.5-flash-lite</t>
        </is>
      </c>
      <c r="C18" s="9" t="inlineStr">
        <is>
          <t>Gemini</t>
        </is>
      </c>
      <c r="D18" s="9" t="inlineStr">
        <is>
          <t>文本、图片</t>
        </is>
      </c>
      <c r="E18" s="9" t="inlineStr">
        <is>
          <t>自动</t>
        </is>
      </c>
      <c r="F18" s="9" t="inlineStr">
        <is>
          <t>后校验</t>
        </is>
      </c>
      <c r="G18" s="14" t="n">
        <v>8192</v>
      </c>
      <c r="H18" s="11" t="inlineStr">
        <is>
          <t>暂不发布</t>
        </is>
      </c>
      <c r="I18" s="10" t="str">
        <f>IF(B18="","",IF(COUNTIF($B$6:$B$105,B18)&gt;1,"模型重复",IF(OR(A18="",C18="",D18="",H18=""),"信息不完整","待系统验证")))</f>
        <v>待系统验证</v>
      </c>
    </row>
    <row r="19" ht="31" customHeight="1">
      <c r="A19" s="9" t="inlineStr">
        <is>
          <t>Gemini 3.1 Flash-Lite</t>
        </is>
      </c>
      <c r="B19" s="9" t="inlineStr">
        <is>
          <t>gemini-3.1-flash-lite</t>
        </is>
      </c>
      <c r="C19" s="9" t="inlineStr">
        <is>
          <t>Gemini</t>
        </is>
      </c>
      <c r="D19" s="9" t="inlineStr">
        <is>
          <t>文本</t>
        </is>
      </c>
      <c r="E19" s="9" t="inlineStr">
        <is>
          <t>自动</t>
        </is>
      </c>
      <c r="F19" s="9" t="inlineStr">
        <is>
          <t>后校验</t>
        </is>
      </c>
      <c r="G19" s="14" t="n">
        <v>8192</v>
      </c>
      <c r="H19" s="11" t="inlineStr">
        <is>
          <t>暂不发布</t>
        </is>
      </c>
      <c r="I19" s="10" t="str">
        <f>IF(B19="","",IF(COUNTIF($B$6:$B$105,B19)&gt;1,"模型重复",IF(OR(A19="",C19="",D19="",H19=""),"信息不完整","待系统验证")))</f>
        <v>待系统验证</v>
      </c>
    </row>
    <row r="20" ht="31" customHeight="1">
      <c r="A20" s="9" t="inlineStr">
        <is>
          <t>Qwen 3.8 Max</t>
        </is>
      </c>
      <c r="B20" s="9" t="inlineStr">
        <is>
          <t>qwen3.8-max</t>
        </is>
      </c>
      <c r="C20" s="9" t="inlineStr">
        <is>
          <t>Qwen</t>
        </is>
      </c>
      <c r="D20" s="9" t="inlineStr">
        <is>
          <t>文本</t>
        </is>
      </c>
      <c r="E20" s="9" t="inlineStr">
        <is>
          <t>自动</t>
        </is>
      </c>
      <c r="F20" s="9" t="inlineStr">
        <is>
          <t>后校验</t>
        </is>
      </c>
      <c r="G20" s="14" t="n">
        <v>16384</v>
      </c>
      <c r="H20" s="11" t="inlineStr">
        <is>
          <t>暂不发布</t>
        </is>
      </c>
      <c r="I20" s="10" t="str">
        <f>IF(B20="","",IF(COUNTIF($B$6:$B$105,B20)&gt;1,"模型重复",IF(OR(A20="",C20="",D20="",H20=""),"信息不完整","待系统验证")))</f>
        <v>待系统验证</v>
      </c>
    </row>
    <row r="21" ht="31" customHeight="1">
      <c r="A21" s="9" t="inlineStr">
        <is>
          <t>Qwen 3.8 Flash</t>
        </is>
      </c>
      <c r="B21" s="9" t="inlineStr">
        <is>
          <t>qwen3.8-flash</t>
        </is>
      </c>
      <c r="C21" s="9" t="inlineStr">
        <is>
          <t>Qwen</t>
        </is>
      </c>
      <c r="D21" s="9" t="inlineStr">
        <is>
          <t>文本</t>
        </is>
      </c>
      <c r="E21" s="9" t="inlineStr">
        <is>
          <t>自动</t>
        </is>
      </c>
      <c r="F21" s="9" t="inlineStr">
        <is>
          <t>后校验</t>
        </is>
      </c>
      <c r="G21" s="14" t="n">
        <v>8192</v>
      </c>
      <c r="H21" s="11" t="inlineStr">
        <is>
          <t>暂不发布</t>
        </is>
      </c>
      <c r="I21" s="10" t="str">
        <f>IF(B21="","",IF(COUNTIF($B$6:$B$105,B21)&gt;1,"模型重复",IF(OR(A21="",C21="",D21="",H21=""),"信息不完整","待系统验证")))</f>
        <v>待系统验证</v>
      </c>
    </row>
    <row r="22" ht="31" customHeight="1">
      <c r="A22" s="9" t="inlineStr">
        <is>
          <t>Qwen 3.7 Plus</t>
        </is>
      </c>
      <c r="B22" s="9" t="inlineStr">
        <is>
          <t>qwen3.7-plus</t>
        </is>
      </c>
      <c r="C22" s="9" t="inlineStr">
        <is>
          <t>Qwen</t>
        </is>
      </c>
      <c r="D22" s="9" t="inlineStr">
        <is>
          <t>文本</t>
        </is>
      </c>
      <c r="E22" s="9" t="inlineStr">
        <is>
          <t>自动</t>
        </is>
      </c>
      <c r="F22" s="9" t="inlineStr">
        <is>
          <t>后校验</t>
        </is>
      </c>
      <c r="G22" s="14" t="n">
        <v>8192</v>
      </c>
      <c r="H22" s="11" t="inlineStr">
        <is>
          <t>暂不发布</t>
        </is>
      </c>
      <c r="I22" s="10" t="str">
        <f>IF(B22="","",IF(COUNTIF($B$6:$B$105,B22)&gt;1,"模型重复",IF(OR(A22="",C22="",D22="",H22=""),"信息不完整","待系统验证")))</f>
        <v>待系统验证</v>
      </c>
    </row>
    <row r="23" ht="31" customHeight="1">
      <c r="A23" s="9" t="inlineStr">
        <is>
          <t>Qwen 3.6 Plus</t>
        </is>
      </c>
      <c r="B23" s="9" t="inlineStr">
        <is>
          <t>qwen3.6-plus</t>
        </is>
      </c>
      <c r="C23" s="9" t="inlineStr">
        <is>
          <t>Qwen</t>
        </is>
      </c>
      <c r="D23" s="9" t="inlineStr">
        <is>
          <t>文本</t>
        </is>
      </c>
      <c r="E23" s="9" t="inlineStr">
        <is>
          <t>自动</t>
        </is>
      </c>
      <c r="F23" s="9" t="inlineStr">
        <is>
          <t>后校验</t>
        </is>
      </c>
      <c r="G23" s="14" t="n">
        <v>8192</v>
      </c>
      <c r="H23" s="11" t="inlineStr">
        <is>
          <t>暂不发布</t>
        </is>
      </c>
      <c r="I23" s="10" t="str">
        <f>IF(B23="","",IF(COUNTIF($B$6:$B$105,B23)&gt;1,"模型重复",IF(OR(A23="",C23="",D23="",H23=""),"信息不完整","待系统验证")))</f>
        <v>待系统验证</v>
      </c>
    </row>
    <row r="24" ht="31" customHeight="1">
      <c r="A24" s="9" t="inlineStr">
        <is>
          <t>Qwen 3.5 Plus</t>
        </is>
      </c>
      <c r="B24" s="9" t="inlineStr">
        <is>
          <t>qwen3.5-plus</t>
        </is>
      </c>
      <c r="C24" s="9" t="inlineStr">
        <is>
          <t>Qwen</t>
        </is>
      </c>
      <c r="D24" s="9" t="inlineStr">
        <is>
          <t>文本</t>
        </is>
      </c>
      <c r="E24" s="9" t="inlineStr">
        <is>
          <t>自动</t>
        </is>
      </c>
      <c r="F24" s="9" t="inlineStr">
        <is>
          <t>后校验</t>
        </is>
      </c>
      <c r="G24" s="14" t="n">
        <v>8192</v>
      </c>
      <c r="H24" s="11" t="inlineStr">
        <is>
          <t>暂不发布</t>
        </is>
      </c>
      <c r="I24" s="10" t="str">
        <f>IF(B24="","",IF(COUNTIF($B$6:$B$105,B24)&gt;1,"模型重复",IF(OR(A24="",C24="",D24="",H24=""),"信息不完整","待系统验证")))</f>
        <v>待系统验证</v>
      </c>
    </row>
    <row r="25" ht="31" customHeight="1">
      <c r="A25" s="9" t="inlineStr">
        <is>
          <t>Qwen3 Coder Flash</t>
        </is>
      </c>
      <c r="B25" s="9" t="inlineStr">
        <is>
          <t>qwen3-coder-flash</t>
        </is>
      </c>
      <c r="C25" s="9" t="inlineStr">
        <is>
          <t>Qwen</t>
        </is>
      </c>
      <c r="D25" s="9" t="inlineStr">
        <is>
          <t>文本</t>
        </is>
      </c>
      <c r="E25" s="9" t="inlineStr">
        <is>
          <t>自动</t>
        </is>
      </c>
      <c r="F25" s="9" t="inlineStr">
        <is>
          <t>后校验</t>
        </is>
      </c>
      <c r="G25" s="14" t="n">
        <v>8192</v>
      </c>
      <c r="H25" s="11" t="inlineStr">
        <is>
          <t>暂不发布</t>
        </is>
      </c>
      <c r="I25" s="10" t="str">
        <f>IF(B25="","",IF(COUNTIF($B$6:$B$105,B25)&gt;1,"模型重复",IF(OR(A25="",C25="",D25="",H25=""),"信息不完整","待系统验证")))</f>
        <v>待系统验证</v>
      </c>
    </row>
    <row r="26" ht="31" customHeight="1">
      <c r="A26" s="9" t="inlineStr">
        <is>
          <t>DeepSeek V4 Pro</t>
        </is>
      </c>
      <c r="B26" s="9" t="inlineStr">
        <is>
          <t>deepseek-v4-pro</t>
        </is>
      </c>
      <c r="C26" s="9" t="inlineStr">
        <is>
          <t>DeepSeek</t>
        </is>
      </c>
      <c r="D26" s="9" t="inlineStr">
        <is>
          <t>文本</t>
        </is>
      </c>
      <c r="E26" s="9" t="inlineStr">
        <is>
          <t>自动</t>
        </is>
      </c>
      <c r="F26" s="9" t="inlineStr">
        <is>
          <t>后校验</t>
        </is>
      </c>
      <c r="G26" s="14" t="n">
        <v>16384</v>
      </c>
      <c r="H26" s="11" t="inlineStr">
        <is>
          <t>暂不发布</t>
        </is>
      </c>
      <c r="I26" s="10" t="str">
        <f>IF(B26="","",IF(COUNTIF($B$6:$B$105,B26)&gt;1,"模型重复",IF(OR(A26="",C26="",D26="",H26=""),"信息不完整","待系统验证")))</f>
        <v>待系统验证</v>
      </c>
    </row>
    <row r="27" ht="31" customHeight="1">
      <c r="A27" s="9" t="inlineStr">
        <is>
          <t>DeepSeek Flash</t>
        </is>
      </c>
      <c r="B27" s="9" t="inlineStr">
        <is>
          <t>deepseek-flash</t>
        </is>
      </c>
      <c r="C27" s="9" t="inlineStr">
        <is>
          <t>DeepSeek</t>
        </is>
      </c>
      <c r="D27" s="9" t="inlineStr">
        <is>
          <t>文本</t>
        </is>
      </c>
      <c r="E27" s="9" t="inlineStr">
        <is>
          <t>自动</t>
        </is>
      </c>
      <c r="F27" s="9" t="inlineStr">
        <is>
          <t>后校验</t>
        </is>
      </c>
      <c r="G27" s="14" t="n">
        <v>8192</v>
      </c>
      <c r="H27" s="11" t="inlineStr">
        <is>
          <t>暂不发布</t>
        </is>
      </c>
      <c r="I27" s="10" t="str">
        <f>IF(B27="","",IF(COUNTIF($B$6:$B$105,B27)&gt;1,"模型重复",IF(OR(A27="",C27="",D27="",H27=""),"信息不完整","待系统验证")))</f>
        <v>待系统验证</v>
      </c>
    </row>
    <row r="28" ht="31" customHeight="1">
      <c r="A28" s="9" t="inlineStr">
        <is>
          <t>Kimi K2.6</t>
        </is>
      </c>
      <c r="B28" s="9" t="inlineStr">
        <is>
          <t>kimi-k2.6</t>
        </is>
      </c>
      <c r="C28" s="9" t="inlineStr">
        <is>
          <t>Kimi</t>
        </is>
      </c>
      <c r="D28" s="9" t="inlineStr">
        <is>
          <t>文本</t>
        </is>
      </c>
      <c r="E28" s="9" t="inlineStr">
        <is>
          <t>自动</t>
        </is>
      </c>
      <c r="F28" s="9" t="inlineStr">
        <is>
          <t>后校验</t>
        </is>
      </c>
      <c r="G28" s="14" t="n">
        <v>8192</v>
      </c>
      <c r="H28" s="11" t="inlineStr">
        <is>
          <t>暂不发布</t>
        </is>
      </c>
      <c r="I28" s="10" t="str">
        <f>IF(B28="","",IF(COUNTIF($B$6:$B$105,B28)&gt;1,"模型重复",IF(OR(A28="",C28="",D28="",H28=""),"信息不完整","待系统验证")))</f>
        <v>待系统验证</v>
      </c>
    </row>
    <row r="29" ht="31" customHeight="1">
      <c r="A29" s="9" t="inlineStr">
        <is>
          <t>Kimi K2.5</t>
        </is>
      </c>
      <c r="B29" s="9" t="inlineStr">
        <is>
          <t>kimi-k2.5</t>
        </is>
      </c>
      <c r="C29" s="9" t="inlineStr">
        <is>
          <t>Kimi</t>
        </is>
      </c>
      <c r="D29" s="9" t="inlineStr">
        <is>
          <t>文本</t>
        </is>
      </c>
      <c r="E29" s="9" t="inlineStr">
        <is>
          <t>自动</t>
        </is>
      </c>
      <c r="F29" s="9" t="inlineStr">
        <is>
          <t>后校验</t>
        </is>
      </c>
      <c r="G29" s="14" t="n">
        <v>8192</v>
      </c>
      <c r="H29" s="11" t="inlineStr">
        <is>
          <t>暂不发布</t>
        </is>
      </c>
      <c r="I29" s="10" t="str">
        <f>IF(B29="","",IF(COUNTIF($B$6:$B$105,B29)&gt;1,"模型重复",IF(OR(A29="",C29="",D29="",H29=""),"信息不完整","待系统验证")))</f>
        <v>待系统验证</v>
      </c>
    </row>
    <row r="30" ht="31" customHeight="1">
      <c r="A30" s="9" t="inlineStr">
        <is>
          <t>GLM 5.3</t>
        </is>
      </c>
      <c r="B30" s="9" t="inlineStr">
        <is>
          <t>glm-5.3</t>
        </is>
      </c>
      <c r="C30" s="9" t="inlineStr">
        <is>
          <t>GLM</t>
        </is>
      </c>
      <c r="D30" s="9" t="inlineStr">
        <is>
          <t>文本</t>
        </is>
      </c>
      <c r="E30" s="9" t="inlineStr">
        <is>
          <t>自动</t>
        </is>
      </c>
      <c r="F30" s="9" t="inlineStr">
        <is>
          <t>后校验</t>
        </is>
      </c>
      <c r="G30" s="14" t="n">
        <v>8192</v>
      </c>
      <c r="H30" s="11" t="inlineStr">
        <is>
          <t>暂不发布</t>
        </is>
      </c>
      <c r="I30" s="10" t="str">
        <f>IF(B30="","",IF(COUNTIF($B$6:$B$105,B30)&gt;1,"模型重复",IF(OR(A30="",C30="",D30="",H30=""),"信息不完整","待系统验证")))</f>
        <v>待系统验证</v>
      </c>
    </row>
    <row r="31" ht="31" customHeight="1">
      <c r="A31" s="9" t="inlineStr">
        <is>
          <t>GLM 5.2</t>
        </is>
      </c>
      <c r="B31" s="9" t="inlineStr">
        <is>
          <t>glm-5.2</t>
        </is>
      </c>
      <c r="C31" s="9" t="inlineStr">
        <is>
          <t>GLM</t>
        </is>
      </c>
      <c r="D31" s="9" t="inlineStr">
        <is>
          <t>文本</t>
        </is>
      </c>
      <c r="E31" s="9" t="inlineStr">
        <is>
          <t>自动</t>
        </is>
      </c>
      <c r="F31" s="9" t="inlineStr">
        <is>
          <t>后校验</t>
        </is>
      </c>
      <c r="G31" s="14" t="n">
        <v>8192</v>
      </c>
      <c r="H31" s="11" t="inlineStr">
        <is>
          <t>暂不发布</t>
        </is>
      </c>
      <c r="I31" s="10" t="str">
        <f>IF(B31="","",IF(COUNTIF($B$6:$B$105,B31)&gt;1,"模型重复",IF(OR(A31="",C31="",D31="",H31=""),"信息不完整","待系统验证")))</f>
        <v>待系统验证</v>
      </c>
    </row>
    <row r="32" ht="31" customHeight="1">
      <c r="A32" s="9" t="inlineStr">
        <is>
          <t>MiniMax M3</t>
        </is>
      </c>
      <c r="B32" s="9" t="inlineStr">
        <is>
          <t>MiniMax-M3</t>
        </is>
      </c>
      <c r="C32" s="9" t="inlineStr">
        <is>
          <t>MiniMax</t>
        </is>
      </c>
      <c r="D32" s="9" t="inlineStr">
        <is>
          <t>文本、图片</t>
        </is>
      </c>
      <c r="E32" s="9" t="inlineStr">
        <is>
          <t>自动</t>
        </is>
      </c>
      <c r="F32" s="9" t="inlineStr">
        <is>
          <t>后校验</t>
        </is>
      </c>
      <c r="G32" s="14" t="n">
        <v>16384</v>
      </c>
      <c r="H32" s="11" t="inlineStr">
        <is>
          <t>暂不发布</t>
        </is>
      </c>
      <c r="I32" s="10" t="str">
        <f>IF(B32="","",IF(COUNTIF($B$6:$B$105,B32)&gt;1,"模型重复",IF(OR(A32="",C32="",D32="",H32=""),"信息不完整","待系统验证")))</f>
        <v>待系统验证</v>
      </c>
    </row>
    <row r="33" ht="31" customHeight="1">
      <c r="A33" s="9" t="inlineStr">
        <is>
          <t>MiniMax M2.7</t>
        </is>
      </c>
      <c r="B33" s="9" t="inlineStr">
        <is>
          <t>MiniMax-M2.7</t>
        </is>
      </c>
      <c r="C33" s="9" t="inlineStr">
        <is>
          <t>MiniMax</t>
        </is>
      </c>
      <c r="D33" s="9" t="inlineStr">
        <is>
          <t>文本</t>
        </is>
      </c>
      <c r="E33" s="9" t="inlineStr">
        <is>
          <t>自动</t>
        </is>
      </c>
      <c r="F33" s="9" t="inlineStr">
        <is>
          <t>后校验</t>
        </is>
      </c>
      <c r="G33" s="14" t="n">
        <v>8192</v>
      </c>
      <c r="H33" s="11" t="inlineStr">
        <is>
          <t>暂不发布</t>
        </is>
      </c>
      <c r="I33" s="10" t="str">
        <f>IF(B33="","",IF(COUNTIF($B$6:$B$105,B33)&gt;1,"模型重复",IF(OR(A33="",C33="",D33="",H33=""),"信息不完整","待系统验证")))</f>
        <v>待系统验证</v>
      </c>
    </row>
    <row r="34" ht="31" customHeight="1">
      <c r="A34" s="9" t="inlineStr">
        <is>
          <t>MiniMax M2.5</t>
        </is>
      </c>
      <c r="B34" s="9" t="inlineStr">
        <is>
          <t>MiniMax-M2.5</t>
        </is>
      </c>
      <c r="C34" s="9" t="inlineStr">
        <is>
          <t>MiniMax</t>
        </is>
      </c>
      <c r="D34" s="9" t="inlineStr">
        <is>
          <t>文本</t>
        </is>
      </c>
      <c r="E34" s="9" t="inlineStr">
        <is>
          <t>自动</t>
        </is>
      </c>
      <c r="F34" s="9" t="inlineStr">
        <is>
          <t>后校验</t>
        </is>
      </c>
      <c r="G34" s="14" t="n">
        <v>8192</v>
      </c>
      <c r="H34" s="11" t="inlineStr">
        <is>
          <t>暂不发布</t>
        </is>
      </c>
      <c r="I34" s="10" t="str">
        <f>IF(B34="","",IF(COUNTIF($B$6:$B$105,B34)&gt;1,"模型重复",IF(OR(A34="",C34="",D34="",H34=""),"信息不完整","待系统验证")))</f>
        <v>待系统验证</v>
      </c>
    </row>
    <row r="35" ht="31" customHeight="1">
      <c r="A35" s="9" t="inlineStr">
        <is>
          <t>Grok 4.7</t>
        </is>
      </c>
      <c r="B35" s="9" t="inlineStr">
        <is>
          <t>grok-4.7</t>
        </is>
      </c>
      <c r="C35" s="9" t="inlineStr">
        <is>
          <t>Grok</t>
        </is>
      </c>
      <c r="D35" s="9" t="inlineStr">
        <is>
          <t>文本、图片</t>
        </is>
      </c>
      <c r="E35" s="9" t="inlineStr">
        <is>
          <t>自动</t>
        </is>
      </c>
      <c r="F35" s="9" t="inlineStr">
        <is>
          <t>后校验</t>
        </is>
      </c>
      <c r="G35" s="14" t="n">
        <v>8192</v>
      </c>
      <c r="H35" s="11" t="inlineStr">
        <is>
          <t>暂不发布</t>
        </is>
      </c>
      <c r="I35" s="10" t="str">
        <f>IF(B35="","",IF(COUNTIF($B$6:$B$105,B35)&gt;1,"模型重复",IF(OR(A35="",C35="",D35="",H35=""),"信息不完整","待系统验证")))</f>
        <v>待系统验证</v>
      </c>
    </row>
    <row r="36" ht="31" customHeight="1">
      <c r="A36" s="9" t="inlineStr">
        <is>
          <t>Mistral Large 4</t>
        </is>
      </c>
      <c r="B36" s="9" t="inlineStr">
        <is>
          <t>mistral-large-4</t>
        </is>
      </c>
      <c r="C36" s="9" t="inlineStr">
        <is>
          <t>Mistral</t>
        </is>
      </c>
      <c r="D36" s="9" t="inlineStr">
        <is>
          <t>文本、图片</t>
        </is>
      </c>
      <c r="E36" s="9" t="inlineStr">
        <is>
          <t>自动</t>
        </is>
      </c>
      <c r="F36" s="9" t="inlineStr">
        <is>
          <t>后校验</t>
        </is>
      </c>
      <c r="G36" s="14" t="n">
        <v>16384</v>
      </c>
      <c r="H36" s="11" t="inlineStr">
        <is>
          <t>暂不发布</t>
        </is>
      </c>
      <c r="I36" s="10" t="str">
        <f>IF(B36="","",IF(COUNTIF($B$6:$B$105,B36)&gt;1,"模型重复",IF(OR(A36="",C36="",D36="",H36=""),"信息不完整","待系统验证")))</f>
        <v>待系统验证</v>
      </c>
    </row>
    <row r="37" ht="31" customHeight="1">
      <c r="A37" s="9" t="inlineStr">
        <is>
          <t>Mistral Medium</t>
        </is>
      </c>
      <c r="B37" s="9" t="inlineStr">
        <is>
          <t>mistral-medium-latest</t>
        </is>
      </c>
      <c r="C37" s="9" t="inlineStr">
        <is>
          <t>Mistral</t>
        </is>
      </c>
      <c r="D37" s="9" t="inlineStr">
        <is>
          <t>文本</t>
        </is>
      </c>
      <c r="E37" s="9" t="inlineStr">
        <is>
          <t>自动</t>
        </is>
      </c>
      <c r="F37" s="9" t="inlineStr">
        <is>
          <t>后校验</t>
        </is>
      </c>
      <c r="G37" s="14" t="n">
        <v>8192</v>
      </c>
      <c r="H37" s="11" t="inlineStr">
        <is>
          <t>暂不发布</t>
        </is>
      </c>
      <c r="I37" s="10" t="str">
        <f>IF(B37="","",IF(COUNTIF($B$6:$B$105,B37)&gt;1,"模型重复",IF(OR(A37="",C37="",D37="",H37=""),"信息不完整","待系统验证")))</f>
        <v>待系统验证</v>
      </c>
    </row>
    <row r="38" ht="31" customHeight="1">
      <c r="A38" s="9" t="inlineStr">
        <is>
          <t>Mistral Small</t>
        </is>
      </c>
      <c r="B38" s="9" t="inlineStr">
        <is>
          <t>mistral-small-latest</t>
        </is>
      </c>
      <c r="C38" s="9" t="inlineStr">
        <is>
          <t>Mistral</t>
        </is>
      </c>
      <c r="D38" s="9" t="inlineStr">
        <is>
          <t>文本</t>
        </is>
      </c>
      <c r="E38" s="9" t="inlineStr">
        <is>
          <t>自动</t>
        </is>
      </c>
      <c r="F38" s="9" t="inlineStr">
        <is>
          <t>后校验</t>
        </is>
      </c>
      <c r="G38" s="14" t="n">
        <v>8192</v>
      </c>
      <c r="H38" s="11" t="inlineStr">
        <is>
          <t>暂不发布</t>
        </is>
      </c>
      <c r="I38" s="10" t="str">
        <f>IF(B38="","",IF(COUNTIF($B$6:$B$105,B38)&gt;1,"模型重复",IF(OR(A38="",C38="",D38="",H38=""),"信息不完整","待系统验证")))</f>
        <v>待系统验证</v>
      </c>
    </row>
    <row r="39" ht="31" customHeight="1">
      <c r="A39" s="9" t="inlineStr">
        <is>
          <t>Magistral Medium</t>
        </is>
      </c>
      <c r="B39" s="9" t="inlineStr">
        <is>
          <t>magistral-medium-latest</t>
        </is>
      </c>
      <c r="C39" s="9" t="inlineStr">
        <is>
          <t>Mistral</t>
        </is>
      </c>
      <c r="D39" s="9" t="inlineStr">
        <is>
          <t>文本</t>
        </is>
      </c>
      <c r="E39" s="9" t="inlineStr">
        <is>
          <t>自动</t>
        </is>
      </c>
      <c r="F39" s="9" t="inlineStr">
        <is>
          <t>后校验</t>
        </is>
      </c>
      <c r="G39" s="14" t="n">
        <v>8192</v>
      </c>
      <c r="H39" s="11" t="inlineStr">
        <is>
          <t>暂不发布</t>
        </is>
      </c>
      <c r="I39" s="10" t="str">
        <f>IF(B39="","",IF(COUNTIF($B$6:$B$105,B39)&gt;1,"模型重复",IF(OR(A39="",C39="",D39="",H39=""),"信息不完整","待系统验证")))</f>
        <v>待系统验证</v>
      </c>
    </row>
    <row r="40" ht="31" customHeight="1">
      <c r="A40" s="9" t="inlineStr">
        <is>
          <t>Doubao Seed 2.1 Pro</t>
        </is>
      </c>
      <c r="B40" s="9" t="inlineStr">
        <is>
          <t>doubao-seed-2-1-pro-260915</t>
        </is>
      </c>
      <c r="C40" s="9" t="inlineStr">
        <is>
          <t>Doubao</t>
        </is>
      </c>
      <c r="D40" s="9" t="inlineStr">
        <is>
          <t>文本、图片</t>
        </is>
      </c>
      <c r="E40" s="9" t="inlineStr">
        <is>
          <t>自动</t>
        </is>
      </c>
      <c r="F40" s="9" t="inlineStr">
        <is>
          <t>后校验</t>
        </is>
      </c>
      <c r="G40" s="14" t="n">
        <v>16384</v>
      </c>
      <c r="H40" s="11" t="inlineStr">
        <is>
          <t>暂不发布</t>
        </is>
      </c>
      <c r="I40" s="10" t="str">
        <f>IF(B40="","",IF(COUNTIF($B$6:$B$105,B40)&gt;1,"模型重复",IF(OR(A40="",C40="",D40="",H40=""),"信息不完整","待系统验证")))</f>
        <v>待系统验证</v>
      </c>
    </row>
    <row r="41" ht="31" customHeight="1">
      <c r="A41" s="9" t="inlineStr">
        <is>
          <t>Doubao Seed 2.1 Lite</t>
        </is>
      </c>
      <c r="B41" s="9" t="inlineStr">
        <is>
          <t>doubao-seed-2-1-lite-260915</t>
        </is>
      </c>
      <c r="C41" s="9" t="inlineStr">
        <is>
          <t>Doubao</t>
        </is>
      </c>
      <c r="D41" s="9" t="inlineStr">
        <is>
          <t>文本、图片</t>
        </is>
      </c>
      <c r="E41" s="9" t="inlineStr">
        <is>
          <t>自动</t>
        </is>
      </c>
      <c r="F41" s="9" t="inlineStr">
        <is>
          <t>后校验</t>
        </is>
      </c>
      <c r="G41" s="14" t="n">
        <v>8192</v>
      </c>
      <c r="H41" s="11" t="inlineStr">
        <is>
          <t>暂不发布</t>
        </is>
      </c>
      <c r="I41" s="10" t="str">
        <f>IF(B41="","",IF(COUNTIF($B$6:$B$105,B41)&gt;1,"模型重复",IF(OR(A41="",C41="",D41="",H41=""),"信息不完整","待系统验证")))</f>
        <v>待系统验证</v>
      </c>
    </row>
    <row r="42" ht="31" customHeight="1">
      <c r="A42" s="9" t="inlineStr">
        <is>
          <t>Doubao Seed 2.1 Turbo</t>
        </is>
      </c>
      <c r="B42" s="9" t="inlineStr">
        <is>
          <t>doubao-seed-2-1-turbo-260628</t>
        </is>
      </c>
      <c r="C42" s="9" t="inlineStr">
        <is>
          <t>Doubao</t>
        </is>
      </c>
      <c r="D42" s="9" t="inlineStr">
        <is>
          <t>文本、图片</t>
        </is>
      </c>
      <c r="E42" s="9" t="inlineStr">
        <is>
          <t>自动</t>
        </is>
      </c>
      <c r="F42" s="9" t="inlineStr">
        <is>
          <t>后校验</t>
        </is>
      </c>
      <c r="G42" s="14" t="n">
        <v>8192</v>
      </c>
      <c r="H42" s="11" t="inlineStr">
        <is>
          <t>暂不发布</t>
        </is>
      </c>
      <c r="I42" s="10" t="str">
        <f>IF(B42="","",IF(COUNTIF($B$6:$B$105,B42)&gt;1,"模型重复",IF(OR(A42="",C42="",D42="",H42=""),"信息不完整","待系统验证")))</f>
        <v>待系统验证</v>
      </c>
    </row>
    <row r="43" ht="31" customHeight="1">
      <c r="A43" s="9" t="inlineStr">
        <is>
          <t>ERNIE 5.1</t>
        </is>
      </c>
      <c r="B43" s="9" t="inlineStr">
        <is>
          <t>ernie-5.1</t>
        </is>
      </c>
      <c r="C43" s="9" t="inlineStr">
        <is>
          <t>Baidu</t>
        </is>
      </c>
      <c r="D43" s="9" t="inlineStr">
        <is>
          <t>文本</t>
        </is>
      </c>
      <c r="E43" s="9" t="inlineStr">
        <is>
          <t>自动</t>
        </is>
      </c>
      <c r="F43" s="9" t="inlineStr">
        <is>
          <t>后校验</t>
        </is>
      </c>
      <c r="G43" s="14" t="n">
        <v>8192</v>
      </c>
      <c r="H43" s="11" t="inlineStr">
        <is>
          <t>暂不发布</t>
        </is>
      </c>
      <c r="I43" s="10" t="str">
        <f>IF(B43="","",IF(COUNTIF($B$6:$B$105,B43)&gt;1,"模型重复",IF(OR(A43="",C43="",D43="",H43=""),"信息不完整","待系统验证")))</f>
        <v>待系统验证</v>
      </c>
    </row>
    <row r="44" ht="31" customHeight="1">
      <c r="A44" s="9" t="inlineStr">
        <is>
          <t>ERNIE 5.0</t>
        </is>
      </c>
      <c r="B44" s="9" t="inlineStr">
        <is>
          <t>ernie-5.0</t>
        </is>
      </c>
      <c r="C44" s="9" t="inlineStr">
        <is>
          <t>Baidu</t>
        </is>
      </c>
      <c r="D44" s="9" t="inlineStr">
        <is>
          <t>文本、图片</t>
        </is>
      </c>
      <c r="E44" s="9" t="inlineStr">
        <is>
          <t>自动</t>
        </is>
      </c>
      <c r="F44" s="9" t="inlineStr">
        <is>
          <t>后校验</t>
        </is>
      </c>
      <c r="G44" s="14" t="n">
        <v>8192</v>
      </c>
      <c r="H44" s="11" t="inlineStr">
        <is>
          <t>暂不发布</t>
        </is>
      </c>
      <c r="I44" s="10" t="str">
        <f>IF(B44="","",IF(COUNTIF($B$6:$B$105,B44)&gt;1,"模型重复",IF(OR(A44="",C44="",D44="",H44=""),"信息不完整","待系统验证")))</f>
        <v>待系统验证</v>
      </c>
    </row>
    <row r="45" ht="31" customHeight="1">
      <c r="A45" s="9" t="inlineStr">
        <is>
          <t>Hunyuan TurboS</t>
        </is>
      </c>
      <c r="B45" s="9" t="inlineStr">
        <is>
          <t>hunyuan-turbos-latest</t>
        </is>
      </c>
      <c r="C45" s="9" t="inlineStr">
        <is>
          <t>Tencent</t>
        </is>
      </c>
      <c r="D45" s="9" t="inlineStr">
        <is>
          <t>文本</t>
        </is>
      </c>
      <c r="E45" s="9" t="inlineStr">
        <is>
          <t>自动</t>
        </is>
      </c>
      <c r="F45" s="9" t="inlineStr">
        <is>
          <t>后校验</t>
        </is>
      </c>
      <c r="G45" s="14" t="n">
        <v>8192</v>
      </c>
      <c r="H45" s="11" t="inlineStr">
        <is>
          <t>暂不发布</t>
        </is>
      </c>
      <c r="I45" s="10" t="str">
        <f>IF(B45="","",IF(COUNTIF($B$6:$B$105,B45)&gt;1,"模型重复",IF(OR(A45="",C45="",D45="",H45=""),"信息不完整","待系统验证")))</f>
        <v>待系统验证</v>
      </c>
    </row>
    <row r="46" ht="31" customHeight="1">
      <c r="A46" s="9" t="inlineStr">
        <is>
          <t>Hunyuan T1</t>
        </is>
      </c>
      <c r="B46" s="9" t="inlineStr">
        <is>
          <t>hunyuan-t1</t>
        </is>
      </c>
      <c r="C46" s="9" t="inlineStr">
        <is>
          <t>Tencent</t>
        </is>
      </c>
      <c r="D46" s="9" t="inlineStr">
        <is>
          <t>文本</t>
        </is>
      </c>
      <c r="E46" s="9" t="inlineStr">
        <is>
          <t>自动</t>
        </is>
      </c>
      <c r="F46" s="9" t="inlineStr">
        <is>
          <t>后校验</t>
        </is>
      </c>
      <c r="G46" s="14" t="n">
        <v>8192</v>
      </c>
      <c r="H46" s="11" t="inlineStr">
        <is>
          <t>暂不发布</t>
        </is>
      </c>
      <c r="I46" s="10" t="str">
        <f>IF(B46="","",IF(COUNTIF($B$6:$B$105,B46)&gt;1,"模型重复",IF(OR(A46="",C46="",D46="",H46=""),"信息不完整","待系统验证")))</f>
        <v>待系统验证</v>
      </c>
    </row>
    <row r="47" ht="31" customHeight="1">
      <c r="A47" s="9" t="inlineStr">
        <is>
          <t>Llama 4 Maverick</t>
        </is>
      </c>
      <c r="B47" s="9" t="inlineStr">
        <is>
          <t>llama-4-maverick</t>
        </is>
      </c>
      <c r="C47" s="9" t="inlineStr">
        <is>
          <t>Meta Llama</t>
        </is>
      </c>
      <c r="D47" s="9" t="inlineStr">
        <is>
          <t>文本、图片</t>
        </is>
      </c>
      <c r="E47" s="9" t="inlineStr">
        <is>
          <t>无</t>
        </is>
      </c>
      <c r="F47" s="9" t="inlineStr">
        <is>
          <t>后校验</t>
        </is>
      </c>
      <c r="G47" s="14" t="n">
        <v>8192</v>
      </c>
      <c r="H47" s="11" t="inlineStr">
        <is>
          <t>暂不发布</t>
        </is>
      </c>
      <c r="I47" s="10" t="str">
        <f>IF(B47="","",IF(COUNTIF($B$6:$B$105,B47)&gt;1,"模型重复",IF(OR(A47="",C47="",D47="",H47=""),"信息不完整","待系统验证")))</f>
        <v>待系统验证</v>
      </c>
    </row>
    <row r="48" ht="31" customHeight="1">
      <c r="A48" s="9" t="inlineStr">
        <is>
          <t>Llama 4 Scout</t>
        </is>
      </c>
      <c r="B48" s="9" t="inlineStr">
        <is>
          <t>llama-4-scout</t>
        </is>
      </c>
      <c r="C48" s="9" t="inlineStr">
        <is>
          <t>Meta Llama</t>
        </is>
      </c>
      <c r="D48" s="9" t="inlineStr">
        <is>
          <t>文本、图片</t>
        </is>
      </c>
      <c r="E48" s="9" t="inlineStr">
        <is>
          <t>无</t>
        </is>
      </c>
      <c r="F48" s="9" t="inlineStr">
        <is>
          <t>后校验</t>
        </is>
      </c>
      <c r="G48" s="14" t="n">
        <v>8192</v>
      </c>
      <c r="H48" s="11" t="inlineStr">
        <is>
          <t>暂不发布</t>
        </is>
      </c>
      <c r="I48" s="10" t="str">
        <f>IF(B48="","",IF(COUNTIF($B$6:$B$105,B48)&gt;1,"模型重复",IF(OR(A48="",C48="",D48="",H48=""),"信息不完整","待系统验证")))</f>
        <v>待系统验证</v>
      </c>
    </row>
    <row r="49" ht="31" customHeight="1">
      <c r="A49" s="9" t="inlineStr">
        <is>
          <t>GPT-OSS 120B</t>
        </is>
      </c>
      <c r="B49" s="9" t="inlineStr">
        <is>
          <t>openai/gpt-oss-120b</t>
        </is>
      </c>
      <c r="C49" s="9" t="inlineStr">
        <is>
          <t>OpenAI</t>
        </is>
      </c>
      <c r="D49" s="9" t="inlineStr">
        <is>
          <t>文本</t>
        </is>
      </c>
      <c r="E49" s="9" t="inlineStr">
        <is>
          <t>自动</t>
        </is>
      </c>
      <c r="F49" s="9" t="inlineStr">
        <is>
          <t>后校验</t>
        </is>
      </c>
      <c r="G49" s="14" t="n">
        <v>8192</v>
      </c>
      <c r="H49" s="11" t="inlineStr">
        <is>
          <t>暂不发布</t>
        </is>
      </c>
      <c r="I49" s="10" t="str">
        <f>IF(B49="","",IF(COUNTIF($B$6:$B$105,B49)&gt;1,"模型重复",IF(OR(A49="",C49="",D49="",H49=""),"信息不完整","待系统验证")))</f>
        <v>待系统验证</v>
      </c>
    </row>
    <row r="50" ht="31" customHeight="1">
      <c r="A50" s="9" t="inlineStr">
        <is>
          <t>GPT-OSS 20B</t>
        </is>
      </c>
      <c r="B50" s="9" t="inlineStr">
        <is>
          <t>openai/gpt-oss-20b</t>
        </is>
      </c>
      <c r="C50" s="9" t="inlineStr">
        <is>
          <t>OpenAI</t>
        </is>
      </c>
      <c r="D50" s="9" t="inlineStr">
        <is>
          <t>文本</t>
        </is>
      </c>
      <c r="E50" s="9" t="inlineStr">
        <is>
          <t>自动</t>
        </is>
      </c>
      <c r="F50" s="9" t="inlineStr">
        <is>
          <t>后校验</t>
        </is>
      </c>
      <c r="G50" s="14" t="n">
        <v>8192</v>
      </c>
      <c r="H50" s="11" t="inlineStr">
        <is>
          <t>暂不发布</t>
        </is>
      </c>
      <c r="I50" s="10" t="str">
        <f>IF(B50="","",IF(COUNTIF($B$6:$B$105,B50)&gt;1,"模型重复",IF(OR(A50="",C50="",D50="",H50=""),"信息不完整","待系统验证")))</f>
        <v>待系统验证</v>
      </c>
    </row>
    <row r="51" ht="30" customHeight="1">
      <c r="A51" s="9" t="inlineStr">
        <is>
          <t>Gemini 3.1 Pro Preview</t>
        </is>
      </c>
      <c r="B51" s="9" t="inlineStr">
        <is>
          <t>gemini-3.1-pro-preview</t>
        </is>
      </c>
      <c r="C51" s="9" t="inlineStr">
        <is>
          <t>Gemini</t>
        </is>
      </c>
      <c r="D51" s="9" t="inlineStr">
        <is>
          <t>文本、图片</t>
        </is>
      </c>
      <c r="E51" s="9" t="inlineStr">
        <is>
          <t>自动</t>
        </is>
      </c>
      <c r="F51" s="9" t="inlineStr">
        <is>
          <t>后校验</t>
        </is>
      </c>
      <c r="G51" s="14" t="n">
        <v>8192</v>
      </c>
      <c r="H51" s="11" t="inlineStr">
        <is>
          <t>暂不发布</t>
        </is>
      </c>
      <c r="I51" s="10" t="str">
        <f>IF(B51="","",IF(COUNTIF($B$6:$B$105,B51)&gt;1,"模型重复",IF(OR(A51="",C51="",D51="",H51=""),"信息不完整","待系统验证")))</f>
        <v>待系统验证</v>
      </c>
    </row>
    <row r="52" ht="30" customHeight="1">
      <c r="A52" s="9" t="inlineStr">
        <is>
          <t>Gemini 3.1 Pro Preview Search</t>
        </is>
      </c>
      <c r="B52" s="9" t="inlineStr">
        <is>
          <t>gemini-3.1-pro-preview-search</t>
        </is>
      </c>
      <c r="C52" s="9" t="inlineStr">
        <is>
          <t>Gemini</t>
        </is>
      </c>
      <c r="D52" s="9" t="inlineStr">
        <is>
          <t>文本、图片</t>
        </is>
      </c>
      <c r="E52" s="9" t="inlineStr">
        <is>
          <t>自动</t>
        </is>
      </c>
      <c r="F52" s="9" t="inlineStr">
        <is>
          <t>后校验</t>
        </is>
      </c>
      <c r="G52" s="14" t="n">
        <v>8192</v>
      </c>
      <c r="H52" s="11" t="inlineStr">
        <is>
          <t>暂不发布</t>
        </is>
      </c>
      <c r="I52" s="10" t="str">
        <f>IF(B52="","",IF(COUNTIF($B$6:$B$105,B52)&gt;1,"模型重复",IF(OR(A52="",C52="",D52="",H52=""),"信息不完整","待系统验证")))</f>
        <v>待系统验证</v>
      </c>
    </row>
    <row r="53" ht="30" customHeight="1">
      <c r="A53" s="9" t="inlineStr">
        <is>
          <t>Gemini 3.5 Flash-Lite Free</t>
        </is>
      </c>
      <c r="B53" s="9" t="inlineStr">
        <is>
          <t>gemini-3.5-flash-lite-free</t>
        </is>
      </c>
      <c r="C53" s="9" t="inlineStr">
        <is>
          <t>Gemini</t>
        </is>
      </c>
      <c r="D53" s="9" t="inlineStr">
        <is>
          <t>文本</t>
        </is>
      </c>
      <c r="E53" s="9" t="inlineStr">
        <is>
          <t>自动</t>
        </is>
      </c>
      <c r="F53" s="9" t="inlineStr">
        <is>
          <t>后校验</t>
        </is>
      </c>
      <c r="G53" s="14" t="n">
        <v>8192</v>
      </c>
      <c r="H53" s="11" t="inlineStr">
        <is>
          <t>暂不发布</t>
        </is>
      </c>
      <c r="I53" s="10" t="str">
        <f>IF(B53="","",IF(COUNTIF($B$6:$B$105,B53)&gt;1,"模型重复",IF(OR(A53="",C53="",D53="",H53=""),"信息不完整","待系统验证")))</f>
        <v>待系统验证</v>
      </c>
    </row>
    <row r="54" ht="30" customHeight="1">
      <c r="A54" s="9" t="inlineStr">
        <is>
          <t>Grok 4.5</t>
        </is>
      </c>
      <c r="B54" s="9" t="inlineStr">
        <is>
          <t>grok-4.5</t>
        </is>
      </c>
      <c r="C54" s="9" t="inlineStr">
        <is>
          <t>Grok</t>
        </is>
      </c>
      <c r="D54" s="9" t="inlineStr">
        <is>
          <t>文本、图片</t>
        </is>
      </c>
      <c r="E54" s="9" t="inlineStr">
        <is>
          <t>自动</t>
        </is>
      </c>
      <c r="F54" s="9" t="inlineStr">
        <is>
          <t>后校验</t>
        </is>
      </c>
      <c r="G54" s="14" t="n">
        <v>8192</v>
      </c>
      <c r="H54" s="11" t="inlineStr">
        <is>
          <t>暂不发布</t>
        </is>
      </c>
      <c r="I54" s="10" t="str">
        <f>IF(B54="","",IF(COUNTIF($B$6:$B$105,B54)&gt;1,"模型重复",IF(OR(A54="",C54="",D54="",H54=""),"信息不完整","待系统验证")))</f>
        <v>待系统验证</v>
      </c>
    </row>
    <row r="55" ht="30" customHeight="1">
      <c r="A55" s="9" t="inlineStr">
        <is>
          <t>Grok 4.6</t>
        </is>
      </c>
      <c r="B55" s="9" t="inlineStr">
        <is>
          <t>grok-4.6</t>
        </is>
      </c>
      <c r="C55" s="9" t="inlineStr">
        <is>
          <t>Grok</t>
        </is>
      </c>
      <c r="D55" s="9" t="inlineStr">
        <is>
          <t>文本、图片</t>
        </is>
      </c>
      <c r="E55" s="9" t="inlineStr">
        <is>
          <t>自动</t>
        </is>
      </c>
      <c r="F55" s="9" t="inlineStr">
        <is>
          <t>后校验</t>
        </is>
      </c>
      <c r="G55" s="14" t="n">
        <v>8192</v>
      </c>
      <c r="H55" s="11" t="inlineStr">
        <is>
          <t>暂不发布</t>
        </is>
      </c>
      <c r="I55" s="10" t="str">
        <f>IF(B55="","",IF(COUNTIF($B$6:$B$105,B55)&gt;1,"模型重复",IF(OR(A55="",C55="",D55="",H55=""),"信息不完整","待系统验证")))</f>
        <v>待系统验证</v>
      </c>
    </row>
    <row r="56" ht="30" customHeight="1">
      <c r="A56" s="9" t="inlineStr">
        <is>
          <t>Kimi K3</t>
        </is>
      </c>
      <c r="B56" s="9" t="inlineStr">
        <is>
          <t>kimi-k3</t>
        </is>
      </c>
      <c r="C56" s="9" t="inlineStr">
        <is>
          <t>Kimi</t>
        </is>
      </c>
      <c r="D56" s="9" t="inlineStr">
        <is>
          <t>文本、图片</t>
        </is>
      </c>
      <c r="E56" s="9" t="inlineStr">
        <is>
          <t>自动</t>
        </is>
      </c>
      <c r="F56" s="9" t="inlineStr">
        <is>
          <t>后校验</t>
        </is>
      </c>
      <c r="G56" s="14" t="n">
        <v>8192</v>
      </c>
      <c r="H56" s="11" t="inlineStr">
        <is>
          <t>暂不发布</t>
        </is>
      </c>
      <c r="I56" s="10" t="str">
        <f>IF(B56="","",IF(COUNTIF($B$6:$B$105,B56)&gt;1,"模型重复",IF(OR(A56="",C56="",D56="",H56=""),"信息不完整","待系统验证")))</f>
        <v>待系统验证</v>
      </c>
    </row>
    <row r="57" ht="30" customHeight="1">
      <c r="A57" s="9" t="inlineStr">
        <is>
          <t>Kimi K2.7 Code</t>
        </is>
      </c>
      <c r="B57" s="9" t="inlineStr">
        <is>
          <t>kimi-k2.7-code</t>
        </is>
      </c>
      <c r="C57" s="9" t="inlineStr">
        <is>
          <t>Kimi</t>
        </is>
      </c>
      <c r="D57" s="9" t="inlineStr">
        <is>
          <t>文本</t>
        </is>
      </c>
      <c r="E57" s="9" t="inlineStr">
        <is>
          <t>自动</t>
        </is>
      </c>
      <c r="F57" s="9" t="inlineStr">
        <is>
          <t>后校验</t>
        </is>
      </c>
      <c r="G57" s="14" t="n">
        <v>8192</v>
      </c>
      <c r="H57" s="11" t="inlineStr">
        <is>
          <t>暂不发布</t>
        </is>
      </c>
      <c r="I57" s="10" t="str">
        <f>IF(B57="","",IF(COUNTIF($B$6:$B$105,B57)&gt;1,"模型重复",IF(OR(A57="",C57="",D57="",H57=""),"信息不完整","待系统验证")))</f>
        <v>待系统验证</v>
      </c>
    </row>
    <row r="58" ht="30" customHeight="1">
      <c r="A58" s="9" t="inlineStr">
        <is>
          <t>Claude Sonnet 5</t>
        </is>
      </c>
      <c r="B58" s="9" t="inlineStr">
        <is>
          <t>claude-sonnet-5</t>
        </is>
      </c>
      <c r="C58" s="9" t="inlineStr">
        <is>
          <t>Anthropic</t>
        </is>
      </c>
      <c r="D58" s="9" t="inlineStr">
        <is>
          <t>文本、图片</t>
        </is>
      </c>
      <c r="E58" s="9" t="inlineStr">
        <is>
          <t>自动</t>
        </is>
      </c>
      <c r="F58" s="9" t="inlineStr">
        <is>
          <t>后校验</t>
        </is>
      </c>
      <c r="G58" s="14" t="n">
        <v>8192</v>
      </c>
      <c r="H58" s="11" t="inlineStr">
        <is>
          <t>暂不发布</t>
        </is>
      </c>
      <c r="I58" s="10" t="str">
        <f>IF(B58="","",IF(COUNTIF($B$6:$B$105,B58)&gt;1,"模型重复",IF(OR(A58="",C58="",D58="",H58=""),"信息不完整","待系统验证")))</f>
        <v>待系统验证</v>
      </c>
    </row>
    <row r="59" ht="30" customHeight="1">
      <c r="A59" s="9" t="inlineStr">
        <is>
          <t>GLM 5.3 Coding Free</t>
        </is>
      </c>
      <c r="B59" s="9" t="inlineStr">
        <is>
          <t>coding-glm-5.3-free</t>
        </is>
      </c>
      <c r="C59" s="9" t="inlineStr">
        <is>
          <t>GLM</t>
        </is>
      </c>
      <c r="D59" s="9" t="inlineStr">
        <is>
          <t>文本</t>
        </is>
      </c>
      <c r="E59" s="9" t="inlineStr">
        <is>
          <t>自动</t>
        </is>
      </c>
      <c r="F59" s="9" t="inlineStr">
        <is>
          <t>后校验</t>
        </is>
      </c>
      <c r="G59" s="14" t="n">
        <v>8192</v>
      </c>
      <c r="H59" s="11" t="inlineStr">
        <is>
          <t>暂不发布</t>
        </is>
      </c>
      <c r="I59" s="10" t="str">
        <f>IF(B59="","",IF(COUNTIF($B$6:$B$105,B59)&gt;1,"模型重复",IF(OR(A59="",C59="",D59="",H59=""),"信息不完整","待系统验证")))</f>
        <v>待系统验证</v>
      </c>
    </row>
    <row r="60" ht="30" customHeight="1">
      <c r="A60" s="9" t="inlineStr">
        <is>
          <t>Xiaomi MiMo V2.6 Pro Free</t>
        </is>
      </c>
      <c r="B60" s="9" t="inlineStr">
        <is>
          <t>xiaomi-mimo-v2.6-pro-free</t>
        </is>
      </c>
      <c r="C60" s="9" t="inlineStr">
        <is>
          <t>Xiaomi</t>
        </is>
      </c>
      <c r="D60" s="9" t="inlineStr">
        <is>
          <t>文本</t>
        </is>
      </c>
      <c r="E60" s="9" t="inlineStr">
        <is>
          <t>自动</t>
        </is>
      </c>
      <c r="F60" s="9" t="inlineStr">
        <is>
          <t>后校验</t>
        </is>
      </c>
      <c r="G60" s="14" t="n">
        <v>8192</v>
      </c>
      <c r="H60" s="11" t="inlineStr">
        <is>
          <t>暂不发布</t>
        </is>
      </c>
      <c r="I60" s="10" t="str">
        <f>IF(B60="","",IF(COUNTIF($B$6:$B$105,B60)&gt;1,"模型重复",IF(OR(A60="",C60="",D60="",H60=""),"信息不完整","待系统验证")))</f>
        <v>待系统验证</v>
      </c>
    </row>
    <row r="61" ht="30" customHeight="1">
      <c r="A61" s="9" t="inlineStr">
        <is>
          <t>GPT-6.1 Sol</t>
        </is>
      </c>
      <c r="B61" s="9" t="inlineStr">
        <is>
          <t>gpt-6.1-sol</t>
        </is>
      </c>
      <c r="C61" s="9" t="inlineStr">
        <is>
          <t>OpenAI</t>
        </is>
      </c>
      <c r="D61" s="9" t="inlineStr">
        <is>
          <t>文本、图片</t>
        </is>
      </c>
      <c r="E61" s="9" t="inlineStr">
        <is>
          <t>自动</t>
        </is>
      </c>
      <c r="F61" s="9" t="inlineStr">
        <is>
          <t>后校验</t>
        </is>
      </c>
      <c r="G61" s="14" t="n">
        <v>8192</v>
      </c>
      <c r="H61" s="11" t="inlineStr">
        <is>
          <t>暂不发布</t>
        </is>
      </c>
      <c r="I61" s="10" t="str">
        <f>IF(B61="","",IF(COUNTIF($B$6:$B$105,B61)&gt;1,"模型重复",IF(OR(A61="",C61="",D61="",H61=""),"信息不完整","待系统验证")))</f>
        <v>待系统验证</v>
      </c>
    </row>
    <row r="62" ht="30" customHeight="1">
      <c r="A62" s="9" t="inlineStr">
        <is>
          <t>Claude Opus 5</t>
        </is>
      </c>
      <c r="B62" s="9" t="inlineStr">
        <is>
          <t>claude-opus-5</t>
        </is>
      </c>
      <c r="C62" s="9" t="inlineStr">
        <is>
          <t>Anthropic</t>
        </is>
      </c>
      <c r="D62" s="9" t="inlineStr">
        <is>
          <t>文本、图片</t>
        </is>
      </c>
      <c r="E62" s="9" t="inlineStr">
        <is>
          <t>自动</t>
        </is>
      </c>
      <c r="F62" s="9" t="inlineStr">
        <is>
          <t>后校验</t>
        </is>
      </c>
      <c r="G62" s="14" t="n">
        <v>8192</v>
      </c>
      <c r="H62" s="11" t="inlineStr">
        <is>
          <t>暂不发布</t>
        </is>
      </c>
      <c r="I62" s="10" t="str">
        <f>IF(B62="","",IF(COUNTIF($B$6:$B$105,B62)&gt;1,"模型重复",IF(OR(A62="",C62="",D62="",H62=""),"信息不完整","待系统验证")))</f>
        <v>待系统验证</v>
      </c>
    </row>
    <row r="63" ht="30" customHeight="1">
      <c r="A63" s="9" t="inlineStr">
        <is>
          <t>Xiaomi MiMo V2.6 Pro</t>
        </is>
      </c>
      <c r="B63" s="9" t="inlineStr">
        <is>
          <t>mimo-v2.6-pro</t>
        </is>
      </c>
      <c r="C63" s="9" t="inlineStr">
        <is>
          <t>Xiaomi</t>
        </is>
      </c>
      <c r="D63" s="9" t="inlineStr">
        <is>
          <t>文本、图片</t>
        </is>
      </c>
      <c r="E63" s="9" t="inlineStr">
        <is>
          <t>自动</t>
        </is>
      </c>
      <c r="F63" s="9" t="inlineStr">
        <is>
          <t>后校验</t>
        </is>
      </c>
      <c r="G63" s="14" t="n">
        <v>8192</v>
      </c>
      <c r="H63" s="11" t="inlineStr">
        <is>
          <t>暂不发布</t>
        </is>
      </c>
      <c r="I63" s="10" t="str">
        <f>IF(B63="","",IF(COUNTIF($B$6:$B$105,B63)&gt;1,"模型重复",IF(OR(A63="",C63="",D63="",H63=""),"信息不完整","待系统验证")))</f>
        <v>待系统验证</v>
      </c>
    </row>
    <row r="64" ht="30" customHeight="1">
      <c r="A64" s="9" t="inlineStr">
        <is>
          <t>GLM 5.3 Flash</t>
        </is>
      </c>
      <c r="B64" s="9" t="inlineStr">
        <is>
          <t>glm-5.3-flash</t>
        </is>
      </c>
      <c r="C64" s="9" t="inlineStr">
        <is>
          <t>GLM</t>
        </is>
      </c>
      <c r="D64" s="9" t="inlineStr">
        <is>
          <t>文本</t>
        </is>
      </c>
      <c r="E64" s="9" t="inlineStr">
        <is>
          <t>自动</t>
        </is>
      </c>
      <c r="F64" s="9" t="inlineStr">
        <is>
          <t>后校验</t>
        </is>
      </c>
      <c r="G64" s="14" t="n">
        <v>8192</v>
      </c>
      <c r="H64" s="11" t="inlineStr">
        <is>
          <t>暂不发布</t>
        </is>
      </c>
      <c r="I64" s="10" t="str">
        <f>IF(B64="","",IF(COUNTIF($B$6:$B$105,B64)&gt;1,"模型重复",IF(OR(A64="",C64="",D64="",H64=""),"信息不完整","待系统验证")))</f>
        <v>待系统验证</v>
      </c>
    </row>
    <row r="65" ht="31" customHeight="1">
      <c r="A65" s="9" t="n"/>
      <c r="B65" s="9" t="n"/>
      <c r="C65" s="9" t="n"/>
      <c r="D65" s="9" t="n"/>
      <c r="E65" s="9" t="n"/>
      <c r="F65" s="9" t="n"/>
      <c r="G65" s="14" t="n"/>
      <c r="H65" s="11" t="n"/>
      <c r="I65" s="10">
        <f>IF(B65="","",IF(COUNTIF($B$6:$B$105,B65)&gt;1,"模型重复",IF(OR(A65="",C65="",D65="",H65=""),"信息不完整","待系统验证")))</f>
        <v/>
      </c>
    </row>
    <row r="66" ht="31" customHeight="1">
      <c r="A66" s="9" t="n"/>
      <c r="B66" s="9" t="n"/>
      <c r="C66" s="9" t="n"/>
      <c r="D66" s="9" t="n"/>
      <c r="E66" s="9" t="n"/>
      <c r="F66" s="9" t="n"/>
      <c r="G66" s="14" t="n"/>
      <c r="H66" s="11" t="n"/>
      <c r="I66" s="10">
        <f>IF(B66="","",IF(COUNTIF($B$6:$B$105,B66)&gt;1,"模型重复",IF(OR(A66="",C66="",D66="",H66=""),"信息不完整","待系统验证")))</f>
        <v/>
      </c>
    </row>
    <row r="67" ht="31" customHeight="1">
      <c r="A67" s="9" t="n"/>
      <c r="B67" s="9" t="n"/>
      <c r="C67" s="9" t="n"/>
      <c r="D67" s="9" t="n"/>
      <c r="E67" s="9" t="n"/>
      <c r="F67" s="9" t="n"/>
      <c r="G67" s="14" t="n"/>
      <c r="H67" s="11" t="n"/>
      <c r="I67" s="10">
        <f>IF(B67="","",IF(COUNTIF($B$6:$B$105,B67)&gt;1,"模型重复",IF(OR(A67="",C67="",D67="",H67=""),"信息不完整","待系统验证")))</f>
        <v/>
      </c>
    </row>
    <row r="68" ht="31" customHeight="1">
      <c r="A68" s="9" t="n"/>
      <c r="B68" s="9" t="n"/>
      <c r="C68" s="9" t="n"/>
      <c r="D68" s="9" t="n"/>
      <c r="E68" s="9" t="n"/>
      <c r="F68" s="9" t="n"/>
      <c r="G68" s="14" t="n"/>
      <c r="H68" s="11" t="n"/>
      <c r="I68" s="10">
        <f>IF(B68="","",IF(COUNTIF($B$6:$B$105,B68)&gt;1,"模型重复",IF(OR(A68="",C68="",D68="",H68=""),"信息不完整","待系统验证")))</f>
        <v/>
      </c>
    </row>
    <row r="69" ht="31" customHeight="1">
      <c r="A69" s="9" t="n"/>
      <c r="B69" s="9" t="n"/>
      <c r="C69" s="9" t="n"/>
      <c r="D69" s="9" t="n"/>
      <c r="E69" s="9" t="n"/>
      <c r="F69" s="9" t="n"/>
      <c r="G69" s="14" t="n"/>
      <c r="H69" s="11" t="n"/>
      <c r="I69" s="10">
        <f>IF(B69="","",IF(COUNTIF($B$6:$B$105,B69)&gt;1,"模型重复",IF(OR(A69="",C69="",D69="",H69=""),"信息不完整","待系统验证")))</f>
        <v/>
      </c>
    </row>
    <row r="70" ht="31" customHeight="1">
      <c r="A70" s="9" t="n"/>
      <c r="B70" s="9" t="n"/>
      <c r="C70" s="9" t="n"/>
      <c r="D70" s="9" t="n"/>
      <c r="E70" s="9" t="n"/>
      <c r="F70" s="9" t="n"/>
      <c r="G70" s="14" t="n"/>
      <c r="H70" s="11" t="n"/>
      <c r="I70" s="10">
        <f>IF(B70="","",IF(COUNTIF($B$6:$B$105,B70)&gt;1,"模型重复",IF(OR(A70="",C70="",D70="",H70=""),"信息不完整","待系统验证")))</f>
        <v/>
      </c>
    </row>
    <row r="71" ht="31" customHeight="1">
      <c r="A71" s="9" t="n"/>
      <c r="B71" s="9" t="n"/>
      <c r="C71" s="9" t="n"/>
      <c r="D71" s="9" t="n"/>
      <c r="E71" s="9" t="n"/>
      <c r="F71" s="9" t="n"/>
      <c r="G71" s="14" t="n"/>
      <c r="H71" s="11" t="n"/>
      <c r="I71" s="10">
        <f>IF(B71="","",IF(COUNTIF($B$6:$B$105,B71)&gt;1,"模型重复",IF(OR(A71="",C71="",D71="",H71=""),"信息不完整","待系统验证")))</f>
        <v/>
      </c>
    </row>
    <row r="72" ht="31" customHeight="1">
      <c r="A72" s="9" t="n"/>
      <c r="B72" s="9" t="n"/>
      <c r="C72" s="9" t="n"/>
      <c r="D72" s="9" t="n"/>
      <c r="E72" s="9" t="n"/>
      <c r="F72" s="9" t="n"/>
      <c r="G72" s="14" t="n"/>
      <c r="H72" s="11" t="n"/>
      <c r="I72" s="10">
        <f>IF(B72="","",IF(COUNTIF($B$6:$B$105,B72)&gt;1,"模型重复",IF(OR(A72="",C72="",D72="",H72=""),"信息不完整","待系统验证")))</f>
        <v/>
      </c>
    </row>
    <row r="73" ht="31" customHeight="1">
      <c r="A73" s="9" t="n"/>
      <c r="B73" s="9" t="n"/>
      <c r="C73" s="9" t="n"/>
      <c r="D73" s="9" t="n"/>
      <c r="E73" s="9" t="n"/>
      <c r="F73" s="9" t="n"/>
      <c r="G73" s="14" t="n"/>
      <c r="H73" s="11" t="n"/>
      <c r="I73" s="10">
        <f>IF(B73="","",IF(COUNTIF($B$6:$B$105,B73)&gt;1,"模型重复",IF(OR(A73="",C73="",D73="",H73=""),"信息不完整","待系统验证")))</f>
        <v/>
      </c>
    </row>
    <row r="74" ht="31" customHeight="1">
      <c r="A74" s="9" t="n"/>
      <c r="B74" s="9" t="n"/>
      <c r="C74" s="9" t="n"/>
      <c r="D74" s="9" t="n"/>
      <c r="E74" s="9" t="n"/>
      <c r="F74" s="9" t="n"/>
      <c r="G74" s="14" t="n"/>
      <c r="H74" s="11" t="n"/>
      <c r="I74" s="10">
        <f>IF(B74="","",IF(COUNTIF($B$6:$B$105,B74)&gt;1,"模型重复",IF(OR(A74="",C74="",D74="",H74=""),"信息不完整","待系统验证")))</f>
        <v/>
      </c>
    </row>
    <row r="75" ht="31" customHeight="1">
      <c r="A75" s="9" t="n"/>
      <c r="B75" s="9" t="n"/>
      <c r="C75" s="9" t="n"/>
      <c r="D75" s="9" t="n"/>
      <c r="E75" s="9" t="n"/>
      <c r="F75" s="9" t="n"/>
      <c r="G75" s="14" t="n"/>
      <c r="H75" s="11" t="n"/>
      <c r="I75" s="10">
        <f>IF(B75="","",IF(COUNTIF($B$6:$B$105,B75)&gt;1,"模型重复",IF(OR(A75="",C75="",D75="",H75=""),"信息不完整","待系统验证")))</f>
        <v/>
      </c>
    </row>
    <row r="76" ht="31" customHeight="1">
      <c r="A76" s="9" t="n"/>
      <c r="B76" s="9" t="n"/>
      <c r="C76" s="9" t="n"/>
      <c r="D76" s="9" t="n"/>
      <c r="E76" s="9" t="n"/>
      <c r="F76" s="9" t="n"/>
      <c r="G76" s="14" t="n"/>
      <c r="H76" s="11" t="n"/>
      <c r="I76" s="10">
        <f>IF(B76="","",IF(COUNTIF($B$6:$B$105,B76)&gt;1,"模型重复",IF(OR(A76="",C76="",D76="",H76=""),"信息不完整","待系统验证")))</f>
        <v/>
      </c>
    </row>
    <row r="77" ht="31" customHeight="1">
      <c r="A77" s="9" t="n"/>
      <c r="B77" s="9" t="n"/>
      <c r="C77" s="9" t="n"/>
      <c r="D77" s="9" t="n"/>
      <c r="E77" s="9" t="n"/>
      <c r="F77" s="9" t="n"/>
      <c r="G77" s="14" t="n"/>
      <c r="H77" s="11" t="n"/>
      <c r="I77" s="10">
        <f>IF(B77="","",IF(COUNTIF($B$6:$B$105,B77)&gt;1,"模型重复",IF(OR(A77="",C77="",D77="",H77=""),"信息不完整","待系统验证")))</f>
        <v/>
      </c>
    </row>
    <row r="78" ht="31" customHeight="1">
      <c r="A78" s="9" t="n"/>
      <c r="B78" s="9" t="n"/>
      <c r="C78" s="9" t="n"/>
      <c r="D78" s="9" t="n"/>
      <c r="E78" s="9" t="n"/>
      <c r="F78" s="9" t="n"/>
      <c r="G78" s="14" t="n"/>
      <c r="H78" s="11" t="n"/>
      <c r="I78" s="10">
        <f>IF(B78="","",IF(COUNTIF($B$6:$B$105,B78)&gt;1,"模型重复",IF(OR(A78="",C78="",D78="",H78=""),"信息不完整","待系统验证")))</f>
        <v/>
      </c>
    </row>
    <row r="79" ht="31" customHeight="1">
      <c r="A79" s="9" t="n"/>
      <c r="B79" s="9" t="n"/>
      <c r="C79" s="9" t="n"/>
      <c r="D79" s="9" t="n"/>
      <c r="E79" s="9" t="n"/>
      <c r="F79" s="9" t="n"/>
      <c r="G79" s="14" t="n"/>
      <c r="H79" s="11" t="n"/>
      <c r="I79" s="10">
        <f>IF(B79="","",IF(COUNTIF($B$6:$B$105,B79)&gt;1,"模型重复",IF(OR(A79="",C79="",D79="",H79=""),"信息不完整","待系统验证")))</f>
        <v/>
      </c>
    </row>
    <row r="80" ht="31" customHeight="1">
      <c r="A80" s="9" t="n"/>
      <c r="B80" s="9" t="n"/>
      <c r="C80" s="9" t="n"/>
      <c r="D80" s="9" t="n"/>
      <c r="E80" s="9" t="n"/>
      <c r="F80" s="9" t="n"/>
      <c r="G80" s="14" t="n"/>
      <c r="H80" s="11" t="n"/>
      <c r="I80" s="10">
        <f>IF(B80="","",IF(COUNTIF($B$6:$B$105,B80)&gt;1,"模型重复",IF(OR(A80="",C80="",D80="",H80=""),"信息不完整","待系统验证")))</f>
        <v/>
      </c>
    </row>
    <row r="81" ht="31" customHeight="1">
      <c r="A81" s="9" t="n"/>
      <c r="B81" s="9" t="n"/>
      <c r="C81" s="9" t="n"/>
      <c r="D81" s="9" t="n"/>
      <c r="E81" s="9" t="n"/>
      <c r="F81" s="9" t="n"/>
      <c r="G81" s="14" t="n"/>
      <c r="H81" s="11" t="n"/>
      <c r="I81" s="10">
        <f>IF(B81="","",IF(COUNTIF($B$6:$B$105,B81)&gt;1,"模型重复",IF(OR(A81="",C81="",D81="",H81=""),"信息不完整","待系统验证")))</f>
        <v/>
      </c>
    </row>
    <row r="82" ht="31" customHeight="1">
      <c r="A82" s="9" t="n"/>
      <c r="B82" s="9" t="n"/>
      <c r="C82" s="9" t="n"/>
      <c r="D82" s="9" t="n"/>
      <c r="E82" s="9" t="n"/>
      <c r="F82" s="9" t="n"/>
      <c r="G82" s="14" t="n"/>
      <c r="H82" s="11" t="n"/>
      <c r="I82" s="10">
        <f>IF(B82="","",IF(COUNTIF($B$6:$B$105,B82)&gt;1,"模型重复",IF(OR(A82="",C82="",D82="",H82=""),"信息不完整","待系统验证")))</f>
        <v/>
      </c>
    </row>
    <row r="83" ht="31" customHeight="1">
      <c r="A83" s="9" t="n"/>
      <c r="B83" s="9" t="n"/>
      <c r="C83" s="9" t="n"/>
      <c r="D83" s="9" t="n"/>
      <c r="E83" s="9" t="n"/>
      <c r="F83" s="9" t="n"/>
      <c r="G83" s="14" t="n"/>
      <c r="H83" s="11" t="n"/>
      <c r="I83" s="10">
        <f>IF(B83="","",IF(COUNTIF($B$6:$B$105,B83)&gt;1,"模型重复",IF(OR(A83="",C83="",D83="",H83=""),"信息不完整","待系统验证")))</f>
        <v/>
      </c>
    </row>
    <row r="84" ht="31" customHeight="1">
      <c r="A84" s="9" t="n"/>
      <c r="B84" s="9" t="n"/>
      <c r="C84" s="9" t="n"/>
      <c r="D84" s="9" t="n"/>
      <c r="E84" s="9" t="n"/>
      <c r="F84" s="9" t="n"/>
      <c r="G84" s="14" t="n"/>
      <c r="H84" s="11" t="n"/>
      <c r="I84" s="10">
        <f>IF(B84="","",IF(COUNTIF($B$6:$B$105,B84)&gt;1,"模型重复",IF(OR(A84="",C84="",D84="",H84=""),"信息不完整","待系统验证")))</f>
        <v/>
      </c>
    </row>
    <row r="85" ht="31" customHeight="1">
      <c r="A85" s="9" t="n"/>
      <c r="B85" s="9" t="n"/>
      <c r="C85" s="9" t="n"/>
      <c r="D85" s="9" t="n"/>
      <c r="E85" s="9" t="n"/>
      <c r="F85" s="9" t="n"/>
      <c r="G85" s="14" t="n"/>
      <c r="H85" s="11" t="n"/>
      <c r="I85" s="10">
        <f>IF(B85="","",IF(COUNTIF($B$6:$B$105,B85)&gt;1,"模型重复",IF(OR(A85="",C85="",D85="",H85=""),"信息不完整","待系统验证")))</f>
        <v/>
      </c>
    </row>
    <row r="86" ht="31" customHeight="1">
      <c r="A86" s="9" t="n"/>
      <c r="B86" s="9" t="n"/>
      <c r="C86" s="9" t="n"/>
      <c r="D86" s="9" t="n"/>
      <c r="E86" s="9" t="n"/>
      <c r="F86" s="9" t="n"/>
      <c r="G86" s="14" t="n"/>
      <c r="H86" s="11" t="n"/>
      <c r="I86" s="10">
        <f>IF(B86="","",IF(COUNTIF($B$6:$B$105,B86)&gt;1,"模型重复",IF(OR(A86="",C86="",D86="",H86=""),"信息不完整","待系统验证")))</f>
        <v/>
      </c>
    </row>
    <row r="87" ht="31" customHeight="1">
      <c r="A87" s="9" t="n"/>
      <c r="B87" s="9" t="n"/>
      <c r="C87" s="9" t="n"/>
      <c r="D87" s="9" t="n"/>
      <c r="E87" s="9" t="n"/>
      <c r="F87" s="9" t="n"/>
      <c r="G87" s="14" t="n"/>
      <c r="H87" s="11" t="n"/>
      <c r="I87" s="10">
        <f>IF(B87="","",IF(COUNTIF($B$6:$B$105,B87)&gt;1,"模型重复",IF(OR(A87="",C87="",D87="",H87=""),"信息不完整","待系统验证")))</f>
        <v/>
      </c>
    </row>
    <row r="88" ht="31" customHeight="1">
      <c r="A88" s="9" t="n"/>
      <c r="B88" s="9" t="n"/>
      <c r="C88" s="9" t="n"/>
      <c r="D88" s="9" t="n"/>
      <c r="E88" s="9" t="n"/>
      <c r="F88" s="9" t="n"/>
      <c r="G88" s="14" t="n"/>
      <c r="H88" s="11" t="n"/>
      <c r="I88" s="10">
        <f>IF(B88="","",IF(COUNTIF($B$6:$B$105,B88)&gt;1,"模型重复",IF(OR(A88="",C88="",D88="",H88=""),"信息不完整","待系统验证")))</f>
        <v/>
      </c>
    </row>
    <row r="89" ht="31" customHeight="1">
      <c r="A89" s="9" t="n"/>
      <c r="B89" s="9" t="n"/>
      <c r="C89" s="9" t="n"/>
      <c r="D89" s="9" t="n"/>
      <c r="E89" s="9" t="n"/>
      <c r="F89" s="9" t="n"/>
      <c r="G89" s="14" t="n"/>
      <c r="H89" s="11" t="n"/>
      <c r="I89" s="10">
        <f>IF(B89="","",IF(COUNTIF($B$6:$B$105,B89)&gt;1,"模型重复",IF(OR(A89="",C89="",D89="",H89=""),"信息不完整","待系统验证")))</f>
        <v/>
      </c>
    </row>
    <row r="90" ht="31" customHeight="1">
      <c r="A90" s="9" t="n"/>
      <c r="B90" s="9" t="n"/>
      <c r="C90" s="9" t="n"/>
      <c r="D90" s="9" t="n"/>
      <c r="E90" s="9" t="n"/>
      <c r="F90" s="9" t="n"/>
      <c r="G90" s="14" t="n"/>
      <c r="H90" s="11" t="n"/>
      <c r="I90" s="10">
        <f>IF(B90="","",IF(COUNTIF($B$6:$B$105,B90)&gt;1,"模型重复",IF(OR(A90="",C90="",D90="",H90=""),"信息不完整","待系统验证")))</f>
        <v/>
      </c>
    </row>
    <row r="91" ht="31" customHeight="1">
      <c r="A91" s="9" t="n"/>
      <c r="B91" s="9" t="n"/>
      <c r="C91" s="9" t="n"/>
      <c r="D91" s="9" t="n"/>
      <c r="E91" s="9" t="n"/>
      <c r="F91" s="9" t="n"/>
      <c r="G91" s="14" t="n"/>
      <c r="H91" s="11" t="n"/>
      <c r="I91" s="10">
        <f>IF(B91="","",IF(COUNTIF($B$6:$B$105,B91)&gt;1,"模型重复",IF(OR(A91="",C91="",D91="",H91=""),"信息不完整","待系统验证")))</f>
        <v/>
      </c>
    </row>
    <row r="92" ht="31" customHeight="1">
      <c r="A92" s="9" t="n"/>
      <c r="B92" s="9" t="n"/>
      <c r="C92" s="9" t="n"/>
      <c r="D92" s="9" t="n"/>
      <c r="E92" s="9" t="n"/>
      <c r="F92" s="9" t="n"/>
      <c r="G92" s="14" t="n"/>
      <c r="H92" s="11" t="n"/>
      <c r="I92" s="10">
        <f>IF(B92="","",IF(COUNTIF($B$6:$B$105,B92)&gt;1,"模型重复",IF(OR(A92="",C92="",D92="",H92=""),"信息不完整","待系统验证")))</f>
        <v/>
      </c>
    </row>
    <row r="93" ht="31" customHeight="1">
      <c r="A93" s="9" t="n"/>
      <c r="B93" s="9" t="n"/>
      <c r="C93" s="9" t="n"/>
      <c r="D93" s="9" t="n"/>
      <c r="E93" s="9" t="n"/>
      <c r="F93" s="9" t="n"/>
      <c r="G93" s="14" t="n"/>
      <c r="H93" s="11" t="n"/>
      <c r="I93" s="10">
        <f>IF(B93="","",IF(COUNTIF($B$6:$B$105,B93)&gt;1,"模型重复",IF(OR(A93="",C93="",D93="",H93=""),"信息不完整","待系统验证")))</f>
        <v/>
      </c>
    </row>
    <row r="94" ht="31" customHeight="1">
      <c r="A94" s="9" t="n"/>
      <c r="B94" s="9" t="n"/>
      <c r="C94" s="9" t="n"/>
      <c r="D94" s="9" t="n"/>
      <c r="E94" s="9" t="n"/>
      <c r="F94" s="9" t="n"/>
      <c r="G94" s="14" t="n"/>
      <c r="H94" s="11" t="n"/>
      <c r="I94" s="10">
        <f>IF(B94="","",IF(COUNTIF($B$6:$B$105,B94)&gt;1,"模型重复",IF(OR(A94="",C94="",D94="",H94=""),"信息不完整","待系统验证")))</f>
        <v/>
      </c>
    </row>
    <row r="95" ht="31" customHeight="1">
      <c r="A95" s="9" t="n"/>
      <c r="B95" s="9" t="n"/>
      <c r="C95" s="9" t="n"/>
      <c r="D95" s="9" t="n"/>
      <c r="E95" s="9" t="n"/>
      <c r="F95" s="9" t="n"/>
      <c r="G95" s="14" t="n"/>
      <c r="H95" s="11" t="n"/>
      <c r="I95" s="10">
        <f>IF(B95="","",IF(COUNTIF($B$6:$B$105,B95)&gt;1,"模型重复",IF(OR(A95="",C95="",D95="",H95=""),"信息不完整","待系统验证")))</f>
        <v/>
      </c>
    </row>
    <row r="96" ht="31" customHeight="1">
      <c r="A96" s="9" t="n"/>
      <c r="B96" s="9" t="n"/>
      <c r="C96" s="9" t="n"/>
      <c r="D96" s="9" t="n"/>
      <c r="E96" s="9" t="n"/>
      <c r="F96" s="9" t="n"/>
      <c r="G96" s="14" t="n"/>
      <c r="H96" s="11" t="n"/>
      <c r="I96" s="10">
        <f>IF(B96="","",IF(COUNTIF($B$6:$B$105,B96)&gt;1,"模型重复",IF(OR(A96="",C96="",D96="",H96=""),"信息不完整","待系统验证")))</f>
        <v/>
      </c>
    </row>
    <row r="97" ht="31" customHeight="1">
      <c r="A97" s="9" t="n"/>
      <c r="B97" s="9" t="n"/>
      <c r="C97" s="9" t="n"/>
      <c r="D97" s="9" t="n"/>
      <c r="E97" s="9" t="n"/>
      <c r="F97" s="9" t="n"/>
      <c r="G97" s="14" t="n"/>
      <c r="H97" s="11" t="n"/>
      <c r="I97" s="10">
        <f>IF(B97="","",IF(COUNTIF($B$6:$B$105,B97)&gt;1,"模型重复",IF(OR(A97="",C97="",D97="",H97=""),"信息不完整","待系统验证")))</f>
        <v/>
      </c>
    </row>
    <row r="98" ht="31" customHeight="1">
      <c r="A98" s="9" t="n"/>
      <c r="B98" s="9" t="n"/>
      <c r="C98" s="9" t="n"/>
      <c r="D98" s="9" t="n"/>
      <c r="E98" s="9" t="n"/>
      <c r="F98" s="9" t="n"/>
      <c r="G98" s="14" t="n"/>
      <c r="H98" s="11" t="n"/>
      <c r="I98" s="10">
        <f>IF(B98="","",IF(COUNTIF($B$6:$B$105,B98)&gt;1,"模型重复",IF(OR(A98="",C98="",D98="",H98=""),"信息不完整","待系统验证")))</f>
        <v/>
      </c>
    </row>
    <row r="99" ht="31" customHeight="1">
      <c r="A99" s="9" t="n"/>
      <c r="B99" s="9" t="n"/>
      <c r="C99" s="9" t="n"/>
      <c r="D99" s="9" t="n"/>
      <c r="E99" s="9" t="n"/>
      <c r="F99" s="9" t="n"/>
      <c r="G99" s="14" t="n"/>
      <c r="H99" s="11" t="n"/>
      <c r="I99" s="10">
        <f>IF(B99="","",IF(COUNTIF($B$6:$B$105,B99)&gt;1,"模型重复",IF(OR(A99="",C99="",D99="",H99=""),"信息不完整","待系统验证")))</f>
        <v/>
      </c>
    </row>
    <row r="100" ht="31" customHeight="1">
      <c r="A100" s="9" t="n"/>
      <c r="B100" s="9" t="n"/>
      <c r="C100" s="9" t="n"/>
      <c r="D100" s="9" t="n"/>
      <c r="E100" s="9" t="n"/>
      <c r="F100" s="9" t="n"/>
      <c r="G100" s="14" t="n"/>
      <c r="H100" s="11" t="n"/>
      <c r="I100" s="10">
        <f>IF(B100="","",IF(COUNTIF($B$6:$B$105,B100)&gt;1,"模型重复",IF(OR(A100="",C100="",D100="",H100=""),"信息不完整","待系统验证")))</f>
        <v/>
      </c>
    </row>
    <row r="101" ht="31" customHeight="1">
      <c r="A101" s="9" t="n"/>
      <c r="B101" s="9" t="n"/>
      <c r="C101" s="9" t="n"/>
      <c r="D101" s="9" t="n"/>
      <c r="E101" s="9" t="n"/>
      <c r="F101" s="9" t="n"/>
      <c r="G101" s="14" t="n"/>
      <c r="H101" s="11" t="n"/>
      <c r="I101" s="10">
        <f>IF(B101="","",IF(COUNTIF($B$6:$B$105,B101)&gt;1,"模型重复",IF(OR(A101="",C101="",D101="",H101=""),"信息不完整","待系统验证")))</f>
        <v/>
      </c>
    </row>
    <row r="102" ht="31" customHeight="1">
      <c r="A102" s="9" t="n"/>
      <c r="B102" s="9" t="n"/>
      <c r="C102" s="9" t="n"/>
      <c r="D102" s="9" t="n"/>
      <c r="E102" s="9" t="n"/>
      <c r="F102" s="9" t="n"/>
      <c r="G102" s="14" t="n"/>
      <c r="H102" s="11" t="n"/>
      <c r="I102" s="10">
        <f>IF(B102="","",IF(COUNTIF($B$6:$B$105,B102)&gt;1,"模型重复",IF(OR(A102="",C102="",D102="",H102=""),"信息不完整","待系统验证")))</f>
        <v/>
      </c>
    </row>
    <row r="103" ht="31" customHeight="1">
      <c r="A103" s="9" t="n"/>
      <c r="B103" s="9" t="n"/>
      <c r="C103" s="9" t="n"/>
      <c r="D103" s="9" t="n"/>
      <c r="E103" s="9" t="n"/>
      <c r="F103" s="9" t="n"/>
      <c r="G103" s="14" t="n"/>
      <c r="H103" s="11" t="n"/>
      <c r="I103" s="10">
        <f>IF(B103="","",IF(COUNTIF($B$6:$B$105,B103)&gt;1,"模型重复",IF(OR(A103="",C103="",D103="",H103=""),"信息不完整","待系统验证")))</f>
        <v/>
      </c>
    </row>
    <row r="104" ht="31" customHeight="1">
      <c r="A104" s="9" t="n"/>
      <c r="B104" s="9" t="n"/>
      <c r="C104" s="9" t="n"/>
      <c r="D104" s="9" t="n"/>
      <c r="E104" s="9" t="n"/>
      <c r="F104" s="9" t="n"/>
      <c r="G104" s="14" t="n"/>
      <c r="H104" s="11" t="n"/>
      <c r="I104" s="10">
        <f>IF(B104="","",IF(COUNTIF($B$6:$B$105,B104)&gt;1,"模型重复",IF(OR(A104="",C104="",D104="",H104=""),"信息不完整","待系统验证")))</f>
        <v/>
      </c>
    </row>
    <row r="105" ht="31" customHeight="1">
      <c r="A105" s="9" t="n"/>
      <c r="B105" s="9" t="n"/>
      <c r="C105" s="9" t="n"/>
      <c r="D105" s="9" t="n"/>
      <c r="E105" s="9" t="n"/>
      <c r="F105" s="9" t="n"/>
      <c r="G105" s="14" t="n"/>
      <c r="H105" s="11" t="n"/>
      <c r="I105" s="10">
        <f>IF(B105="","",IF(COUNTIF($B$6:$B$105,B105)&gt;1,"模型重复",IF(OR(A105="",C105="",D105="",H105=""),"信息不完整","待系统验证")))</f>
        <v/>
      </c>
    </row>
  </sheetData>
  <conditionalFormatting sqref="I6:I105">
    <cfRule type="expression" priority="1" dxfId="0">
      <formula>AND($I6&lt;&gt;"",$I6&lt;&gt;"待系统验证")</formula>
    </cfRule>
  </conditionalFormatting>
  <dataValidations count="1">
    <dataValidation sqref="H6:H105" showDropDown="0" showInputMessage="0" showErrorMessage="0" allowBlank="0" type="list">
      <formula1>"暂不发布,申请发布,暂停"</formula1>
    </dataValidation>
  </dataValidations>
  <printOptions horizontalCentered="0"/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0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40" customWidth="1" min="1" max="1"/>
    <col width="38" customWidth="1" min="2" max="2"/>
    <col width="17" customWidth="1" min="3" max="3"/>
    <col width="15" customWidth="1" min="4" max="4"/>
    <col width="15" customWidth="1" min="5" max="5"/>
    <col width="20" customWidth="1" min="6" max="6"/>
    <col width="21" customWidth="1" min="7" max="7"/>
    <col width="22" customWidth="1" min="8" max="8"/>
    <col width="14" customWidth="1" min="9" max="9"/>
    <col width="65" customWidth="1" min="10" max="10"/>
    <col width="19" customWidth="1" min="11" max="11"/>
  </cols>
  <sheetData>
    <row r="1">
      <c r="A1" s="1" t="inlineStr">
        <is>
          <t>缓存设置</t>
        </is>
      </c>
    </row>
    <row r="2">
      <c r="A2" s="2" t="inlineStr">
        <is>
          <t>同一模型在不同渠道分别配置缓存；示例值不是渠道验证结果。</t>
        </is>
      </c>
    </row>
    <row r="3">
      <c r="A3" s="3" t="inlineStr">
        <is>
          <t>浅黄色为可编辑项。4096 Token 是上游参考门槛，不代表 AIHubMix 已验证或当前系统已支持。</t>
        </is>
      </c>
    </row>
    <row r="5" ht="31" customHeight="1">
      <c r="A5" s="8" t="inlineStr">
        <is>
          <t>对外模型名</t>
        </is>
      </c>
      <c r="B5" s="8" t="inlineStr">
        <is>
          <t>渠道名称</t>
        </is>
      </c>
      <c r="C5" s="8" t="inlineStr">
        <is>
          <t>缓存机制</t>
        </is>
      </c>
      <c r="D5" s="8" t="inlineStr">
        <is>
          <t>默认策略</t>
        </is>
      </c>
      <c r="E5" s="8" t="inlineStr">
        <is>
          <t>可选强制</t>
        </is>
      </c>
      <c r="F5" s="8" t="inlineStr">
        <is>
          <t>计划门槛 Token</t>
        </is>
      </c>
      <c r="G5" s="8" t="inlineStr">
        <is>
          <t>资源有效期 分钟</t>
        </is>
      </c>
      <c r="H5" s="8" t="inlineStr">
        <is>
          <t>自动准备失败时</t>
        </is>
      </c>
      <c r="I5" s="8" t="inlineStr">
        <is>
          <t>启用意向</t>
        </is>
      </c>
      <c r="J5" s="8" t="inlineStr">
        <is>
          <t>说明</t>
        </is>
      </c>
      <c r="K5" s="8" t="inlineStr">
        <is>
          <t>本地检查</t>
        </is>
      </c>
    </row>
    <row r="6" ht="31" customHeight="1">
      <c r="A6" s="9" t="inlineStr">
        <is>
          <t>gemini-3.6-flash</t>
        </is>
      </c>
      <c r="B6" s="9" t="inlineStr">
        <is>
          <t>AIHubMix Gemini</t>
        </is>
      </c>
      <c r="C6" s="9" t="inlineStr">
        <is>
          <t>显式资源</t>
        </is>
      </c>
      <c r="D6" s="11" t="inlineStr">
        <is>
          <t>自动</t>
        </is>
      </c>
      <c r="E6" s="11" t="inlineStr">
        <is>
          <t>否</t>
        </is>
      </c>
      <c r="F6" s="11" t="n"/>
      <c r="G6" s="12" t="n"/>
      <c r="H6" s="11" t="inlineStr">
        <is>
          <t>原文无缓存继续</t>
        </is>
      </c>
      <c r="I6" s="11" t="inlineStr">
        <is>
          <t>停用</t>
        </is>
      </c>
      <c r="J6" s="9" t="inlineStr">
        <is>
          <t>创建门槛、复用及用量须按此渠道实测</t>
        </is>
      </c>
      <c r="K6" s="10" t="str">
        <f>IF(A6="","",IF(COUNTIFS('渠道优先级'!$A$6:$A$105,A6,'渠道优先级'!$C$6:$C$105,B6)=0,"渠道未登记",IF(OR(C6="",D6="",E6="",H6="",I6=""),"信息不完整",IF(COUNTIFS($A$6:$A$105,A6,$B$6:$B$105,B6)&gt;1,"缓存配置重复",IF(AND(C6="隐式前缀",G6&lt;&gt;""),"隐式缓存无需有效期",IF(AND(D6="强制",E6="否"),"强制选项冲突","待系统验证"))))))</f>
        <v>待系统验证</v>
      </c>
    </row>
    <row r="7" ht="31" customHeight="1">
      <c r="A7" s="9" t="inlineStr">
        <is>
          <t>gemini-3.6-flash</t>
        </is>
      </c>
      <c r="B7" s="9" t="inlineStr">
        <is>
          <t>Google 官方（规划）</t>
        </is>
      </c>
      <c r="C7" s="9" t="inlineStr">
        <is>
          <t>显式资源</t>
        </is>
      </c>
      <c r="D7" s="11" t="inlineStr">
        <is>
          <t>自动</t>
        </is>
      </c>
      <c r="E7" s="11" t="inlineStr">
        <is>
          <t>否</t>
        </is>
      </c>
      <c r="F7" s="11" t="n"/>
      <c r="G7" s="12" t="n"/>
      <c r="H7" s="11" t="inlineStr">
        <is>
          <t>原文无缓存继续</t>
        </is>
      </c>
      <c r="I7" s="11" t="inlineStr">
        <is>
          <t>停用</t>
        </is>
      </c>
      <c r="J7" s="9" t="inlineStr">
        <is>
          <t>备用渠道示例；后端尚未接入</t>
        </is>
      </c>
      <c r="K7" s="10" t="str">
        <f>IF(A7="","",IF(COUNTIFS('渠道优先级'!$A$6:$A$105,A7,'渠道优先级'!$C$6:$C$105,B7)=0,"渠道未登记",IF(OR(C7="",D7="",E7="",H7="",I7=""),"信息不完整",IF(COUNTIFS($A$6:$A$105,A7,$B$6:$B$105,B7)&gt;1,"缓存配置重复",IF(AND(C7="隐式前缀",G7&lt;&gt;""),"隐式缓存无需有效期",IF(AND(D7="强制",E7="否"),"强制选项冲突","待系统验证"))))))</f>
        <v>待系统验证</v>
      </c>
    </row>
    <row r="8" ht="31" customHeight="1">
      <c r="A8" s="9" t="inlineStr">
        <is>
          <t>gemini-4-argon</t>
        </is>
      </c>
      <c r="B8" s="9" t="inlineStr">
        <is>
          <t>AIHubMix Gemini</t>
        </is>
      </c>
      <c r="C8" s="9" t="inlineStr">
        <is>
          <t>隐式前缀</t>
        </is>
      </c>
      <c r="D8" s="11" t="inlineStr">
        <is>
          <t>自动</t>
        </is>
      </c>
      <c r="E8" s="11" t="inlineStr">
        <is>
          <t>否</t>
        </is>
      </c>
      <c r="F8" s="11" t="n">
        <v>4096</v>
      </c>
      <c r="G8" s="12" t="n"/>
      <c r="H8" s="11" t="inlineStr">
        <is>
          <t>不适用</t>
        </is>
      </c>
      <c r="I8" s="11" t="inlineStr">
        <is>
          <t>停用</t>
        </is>
      </c>
      <c r="J8" s="9" t="inlineStr">
        <is>
          <t>4096 为上游参考值；渠道与投影待验证</t>
        </is>
      </c>
      <c r="K8" s="10" t="str">
        <f>IF(A8="","",IF(COUNTIFS('渠道优先级'!$A$6:$A$105,A8,'渠道优先级'!$C$6:$C$105,B8)=0,"渠道未登记",IF(OR(C8="",D8="",E8="",H8="",I8=""),"信息不完整",IF(COUNTIFS($A$6:$A$105,A8,$B$6:$B$105,B8)&gt;1,"缓存配置重复",IF(AND(C8="隐式前缀",G8&lt;&gt;""),"隐式缓存无需有效期",IF(AND(D8="强制",E8="否"),"强制选项冲突","待系统验证"))))))</f>
        <v>待系统验证</v>
      </c>
    </row>
    <row r="9" ht="31" customHeight="1">
      <c r="A9" s="9" t="inlineStr">
        <is>
          <t>gemini-4-argon</t>
        </is>
      </c>
      <c r="B9" s="9" t="inlineStr">
        <is>
          <t>Google 官方（规划）</t>
        </is>
      </c>
      <c r="C9" s="9" t="inlineStr">
        <is>
          <t>隐式前缀</t>
        </is>
      </c>
      <c r="D9" s="11" t="inlineStr">
        <is>
          <t>自动</t>
        </is>
      </c>
      <c r="E9" s="11" t="inlineStr">
        <is>
          <t>否</t>
        </is>
      </c>
      <c r="F9" s="11" t="n">
        <v>4096</v>
      </c>
      <c r="G9" s="12" t="n"/>
      <c r="H9" s="11" t="inlineStr">
        <is>
          <t>不适用</t>
        </is>
      </c>
      <c r="I9" s="11" t="inlineStr">
        <is>
          <t>停用</t>
        </is>
      </c>
      <c r="J9" s="9" t="inlineStr">
        <is>
          <t>备用渠道示例；后端尚未接入</t>
        </is>
      </c>
      <c r="K9" s="10" t="str">
        <f>IF(A9="","",IF(COUNTIFS('渠道优先级'!$A$6:$A$105,A9,'渠道优先级'!$C$6:$C$105,B9)=0,"渠道未登记",IF(OR(C9="",D9="",E9="",H9="",I9=""),"信息不完整",IF(COUNTIFS($A$6:$A$105,A9,$B$6:$B$105,B9)&gt;1,"缓存配置重复",IF(AND(C9="隐式前缀",G9&lt;&gt;""),"隐式缓存无需有效期",IF(AND(D9="强制",E9="否"),"强制选项冲突","待系统验证"))))))</f>
        <v>待系统验证</v>
      </c>
    </row>
    <row r="10" ht="31" customHeight="1">
      <c r="A10" s="9" t="inlineStr">
        <is>
          <t>gpt-6-astra</t>
        </is>
      </c>
      <c r="B10" s="9" t="inlineStr">
        <is>
          <t>OpenAI 官方（规划）</t>
        </is>
      </c>
      <c r="C10" s="9" t="inlineStr">
        <is>
          <t>不使用</t>
        </is>
      </c>
      <c r="D10" s="11" t="inlineStr">
        <is>
          <t>关闭</t>
        </is>
      </c>
      <c r="E10" s="11" t="inlineStr">
        <is>
          <t>否</t>
        </is>
      </c>
      <c r="F10" s="11" t="n"/>
      <c r="G10" s="12" t="n"/>
      <c r="H10" s="11" t="inlineStr">
        <is>
          <t>不适用</t>
        </is>
      </c>
      <c r="I10" s="11" t="inlineStr">
        <is>
          <t>停用</t>
        </is>
      </c>
      <c r="J10" s="9" t="inlineStr">
        <is>
          <t>Relay 主动缓存默认关闭；确认真实供应能力后再按 V5 配置。</t>
        </is>
      </c>
      <c r="K10" s="10" t="str">
        <f>IF(A10="","",IF(COUNTIFS('渠道优先级'!$A$6:$A$105,A10,'渠道优先级'!$C$6:$C$105,B10)=0,"渠道未登记",IF(OR(C10="",D10="",E10="",H10="",I10=""),"信息不完整",IF(COUNTIFS($A$6:$A$105,A10,$B$6:$B$105,B10)&gt;1,"缓存配置重复",IF(AND(C10="隐式前缀",G10&lt;&gt;""),"隐式缓存无需有效期",IF(AND(D10="强制",E10="否"),"强制选项冲突","待系统验证"))))))</f>
        <v>待系统验证</v>
      </c>
    </row>
    <row r="11" ht="31" customHeight="1">
      <c r="A11" s="9" t="inlineStr">
        <is>
          <t>gpt-6-sol</t>
        </is>
      </c>
      <c r="B11" s="9" t="inlineStr">
        <is>
          <t>OpenAI 官方（规划）</t>
        </is>
      </c>
      <c r="C11" s="9" t="inlineStr">
        <is>
          <t>不使用</t>
        </is>
      </c>
      <c r="D11" s="11" t="inlineStr">
        <is>
          <t>关闭</t>
        </is>
      </c>
      <c r="E11" s="11" t="inlineStr">
        <is>
          <t>否</t>
        </is>
      </c>
      <c r="F11" s="11" t="n"/>
      <c r="G11" s="12" t="n"/>
      <c r="H11" s="11" t="inlineStr">
        <is>
          <t>不适用</t>
        </is>
      </c>
      <c r="I11" s="11" t="inlineStr">
        <is>
          <t>停用</t>
        </is>
      </c>
      <c r="J11" s="9" t="inlineStr">
        <is>
          <t>Relay 主动缓存默认关闭；确认真实供应能力后再按 V5 配置。</t>
        </is>
      </c>
      <c r="K11" s="10" t="str">
        <f>IF(A11="","",IF(COUNTIFS('渠道优先级'!$A$6:$A$105,A11,'渠道优先级'!$C$6:$C$105,B11)=0,"渠道未登记",IF(OR(C11="",D11="",E11="",H11="",I11=""),"信息不完整",IF(COUNTIFS($A$6:$A$105,A11,$B$6:$B$105,B11)&gt;1,"缓存配置重复",IF(AND(C11="隐式前缀",G11&lt;&gt;""),"隐式缓存无需有效期",IF(AND(D11="强制",E11="否"),"强制选项冲突","待系统验证"))))))</f>
        <v>待系统验证</v>
      </c>
    </row>
    <row r="12" ht="31" customHeight="1">
      <c r="A12" s="9" t="inlineStr">
        <is>
          <t>gpt-6-luna</t>
        </is>
      </c>
      <c r="B12" s="9" t="inlineStr">
        <is>
          <t>OpenAI 官方（规划）</t>
        </is>
      </c>
      <c r="C12" s="9" t="inlineStr">
        <is>
          <t>不使用</t>
        </is>
      </c>
      <c r="D12" s="11" t="inlineStr">
        <is>
          <t>关闭</t>
        </is>
      </c>
      <c r="E12" s="11" t="inlineStr">
        <is>
          <t>否</t>
        </is>
      </c>
      <c r="F12" s="11" t="n"/>
      <c r="G12" s="12" t="n"/>
      <c r="H12" s="11" t="inlineStr">
        <is>
          <t>不适用</t>
        </is>
      </c>
      <c r="I12" s="11" t="inlineStr">
        <is>
          <t>停用</t>
        </is>
      </c>
      <c r="J12" s="9" t="inlineStr">
        <is>
          <t>Relay 主动缓存默认关闭；确认真实供应能力后再按 V5 配置。</t>
        </is>
      </c>
      <c r="K12" s="10" t="str">
        <f>IF(A12="","",IF(COUNTIFS('渠道优先级'!$A$6:$A$105,A12,'渠道优先级'!$C$6:$C$105,B12)=0,"渠道未登记",IF(OR(C12="",D12="",E12="",H12="",I12=""),"信息不完整",IF(COUNTIFS($A$6:$A$105,A12,$B$6:$B$105,B12)&gt;1,"缓存配置重复",IF(AND(C12="隐式前缀",G12&lt;&gt;""),"隐式缓存无需有效期",IF(AND(D12="强制",E12="否"),"强制选项冲突","待系统验证"))))))</f>
        <v>待系统验证</v>
      </c>
    </row>
    <row r="13" ht="31" customHeight="1">
      <c r="A13" s="9" t="inlineStr">
        <is>
          <t>gpt-6.1-terra</t>
        </is>
      </c>
      <c r="B13" s="9" t="inlineStr">
        <is>
          <t>OpenAI 官方（规划）</t>
        </is>
      </c>
      <c r="C13" s="9" t="inlineStr">
        <is>
          <t>不使用</t>
        </is>
      </c>
      <c r="D13" s="11" t="inlineStr">
        <is>
          <t>关闭</t>
        </is>
      </c>
      <c r="E13" s="11" t="inlineStr">
        <is>
          <t>否</t>
        </is>
      </c>
      <c r="F13" s="11" t="n"/>
      <c r="G13" s="12" t="n"/>
      <c r="H13" s="11" t="inlineStr">
        <is>
          <t>不适用</t>
        </is>
      </c>
      <c r="I13" s="11" t="inlineStr">
        <is>
          <t>停用</t>
        </is>
      </c>
      <c r="J13" s="9" t="inlineStr">
        <is>
          <t>Relay 主动缓存默认关闭；确认真实供应能力后再按 V5 配置。</t>
        </is>
      </c>
      <c r="K13" s="10" t="str">
        <f>IF(A13="","",IF(COUNTIFS('渠道优先级'!$A$6:$A$105,A13,'渠道优先级'!$C$6:$C$105,B13)=0,"渠道未登记",IF(OR(C13="",D13="",E13="",H13="",I13=""),"信息不完整",IF(COUNTIFS($A$6:$A$105,A13,$B$6:$B$105,B13)&gt;1,"缓存配置重复",IF(AND(C13="隐式前缀",G13&lt;&gt;""),"隐式缓存无需有效期",IF(AND(D13="强制",E13="否"),"强制选项冲突","待系统验证"))))))</f>
        <v>待系统验证</v>
      </c>
    </row>
    <row r="14" ht="31" customHeight="1">
      <c r="A14" s="9" t="inlineStr">
        <is>
          <t>gpt-5.5</t>
        </is>
      </c>
      <c r="B14" s="9" t="inlineStr">
        <is>
          <t>OpenAI 官方（规划）</t>
        </is>
      </c>
      <c r="C14" s="9" t="inlineStr">
        <is>
          <t>不使用</t>
        </is>
      </c>
      <c r="D14" s="11" t="inlineStr">
        <is>
          <t>关闭</t>
        </is>
      </c>
      <c r="E14" s="11" t="inlineStr">
        <is>
          <t>否</t>
        </is>
      </c>
      <c r="F14" s="11" t="n"/>
      <c r="G14" s="12" t="n"/>
      <c r="H14" s="11" t="inlineStr">
        <is>
          <t>不适用</t>
        </is>
      </c>
      <c r="I14" s="11" t="inlineStr">
        <is>
          <t>停用</t>
        </is>
      </c>
      <c r="J14" s="9" t="inlineStr">
        <is>
          <t>Relay 主动缓存默认关闭；确认真实供应能力后再按 V5 配置。</t>
        </is>
      </c>
      <c r="K14" s="10" t="str">
        <f>IF(A14="","",IF(COUNTIFS('渠道优先级'!$A$6:$A$105,A14,'渠道优先级'!$C$6:$C$105,B14)=0,"渠道未登记",IF(OR(C14="",D14="",E14="",H14="",I14=""),"信息不完整",IF(COUNTIFS($A$6:$A$105,A14,$B$6:$B$105,B14)&gt;1,"缓存配置重复",IF(AND(C14="隐式前缀",G14&lt;&gt;""),"隐式缓存无需有效期",IF(AND(D14="强制",E14="否"),"强制选项冲突","待系统验证"))))))</f>
        <v>待系统验证</v>
      </c>
    </row>
    <row r="15" ht="31" customHeight="1">
      <c r="A15" s="9" t="inlineStr">
        <is>
          <t>claude-fable-5-1</t>
        </is>
      </c>
      <c r="B15" s="9" t="inlineStr">
        <is>
          <t>Anthropic 官方（规划）</t>
        </is>
      </c>
      <c r="C15" s="9" t="inlineStr">
        <is>
          <t>不使用</t>
        </is>
      </c>
      <c r="D15" s="11" t="inlineStr">
        <is>
          <t>关闭</t>
        </is>
      </c>
      <c r="E15" s="11" t="inlineStr">
        <is>
          <t>否</t>
        </is>
      </c>
      <c r="F15" s="11" t="n"/>
      <c r="G15" s="12" t="n"/>
      <c r="H15" s="11" t="inlineStr">
        <is>
          <t>不适用</t>
        </is>
      </c>
      <c r="I15" s="11" t="inlineStr">
        <is>
          <t>停用</t>
        </is>
      </c>
      <c r="J15" s="9" t="inlineStr">
        <is>
          <t>Relay 主动缓存默认关闭；确认真实供应能力后再按 V5 配置。</t>
        </is>
      </c>
      <c r="K15" s="10" t="str">
        <f>IF(A15="","",IF(COUNTIFS('渠道优先级'!$A$6:$A$105,A15,'渠道优先级'!$C$6:$C$105,B15)=0,"渠道未登记",IF(OR(C15="",D15="",E15="",H15="",I15=""),"信息不完整",IF(COUNTIFS($A$6:$A$105,A15,$B$6:$B$105,B15)&gt;1,"缓存配置重复",IF(AND(C15="隐式前缀",G15&lt;&gt;""),"隐式缓存无需有效期",IF(AND(D15="强制",E15="否"),"强制选项冲突","待系统验证"))))))</f>
        <v>待系统验证</v>
      </c>
    </row>
    <row r="16" ht="31" customHeight="1">
      <c r="A16" s="9" t="inlineStr">
        <is>
          <t>claude-opus-5-5</t>
        </is>
      </c>
      <c r="B16" s="9" t="inlineStr">
        <is>
          <t>Anthropic 官方（规划）</t>
        </is>
      </c>
      <c r="C16" s="9" t="inlineStr">
        <is>
          <t>不使用</t>
        </is>
      </c>
      <c r="D16" s="11" t="inlineStr">
        <is>
          <t>关闭</t>
        </is>
      </c>
      <c r="E16" s="11" t="inlineStr">
        <is>
          <t>否</t>
        </is>
      </c>
      <c r="F16" s="11" t="n"/>
      <c r="G16" s="12" t="n"/>
      <c r="H16" s="11" t="inlineStr">
        <is>
          <t>不适用</t>
        </is>
      </c>
      <c r="I16" s="11" t="inlineStr">
        <is>
          <t>停用</t>
        </is>
      </c>
      <c r="J16" s="9" t="inlineStr">
        <is>
          <t>Relay 主动缓存默认关闭；确认真实供应能力后再按 V5 配置。</t>
        </is>
      </c>
      <c r="K16" s="10" t="str">
        <f>IF(A16="","",IF(COUNTIFS('渠道优先级'!$A$6:$A$105,A16,'渠道优先级'!$C$6:$C$105,B16)=0,"渠道未登记",IF(OR(C16="",D16="",E16="",H16="",I16=""),"信息不完整",IF(COUNTIFS($A$6:$A$105,A16,$B$6:$B$105,B16)&gt;1,"缓存配置重复",IF(AND(C16="隐式前缀",G16&lt;&gt;""),"隐式缓存无需有效期",IF(AND(D16="强制",E16="否"),"强制选项冲突","待系统验证"))))))</f>
        <v>待系统验证</v>
      </c>
    </row>
    <row r="17" ht="31" customHeight="1">
      <c r="A17" s="9" t="inlineStr">
        <is>
          <t>claude-sonnet-5-5</t>
        </is>
      </c>
      <c r="B17" s="9" t="inlineStr">
        <is>
          <t>Anthropic 官方（规划）</t>
        </is>
      </c>
      <c r="C17" s="9" t="inlineStr">
        <is>
          <t>不使用</t>
        </is>
      </c>
      <c r="D17" s="11" t="inlineStr">
        <is>
          <t>关闭</t>
        </is>
      </c>
      <c r="E17" s="11" t="inlineStr">
        <is>
          <t>否</t>
        </is>
      </c>
      <c r="F17" s="11" t="n"/>
      <c r="G17" s="12" t="n"/>
      <c r="H17" s="11" t="inlineStr">
        <is>
          <t>不适用</t>
        </is>
      </c>
      <c r="I17" s="11" t="inlineStr">
        <is>
          <t>停用</t>
        </is>
      </c>
      <c r="J17" s="9" t="inlineStr">
        <is>
          <t>Relay 主动缓存默认关闭；确认真实供应能力后再按 V5 配置。</t>
        </is>
      </c>
      <c r="K17" s="10" t="str">
        <f>IF(A17="","",IF(COUNTIFS('渠道优先级'!$A$6:$A$105,A17,'渠道优先级'!$C$6:$C$105,B17)=0,"渠道未登记",IF(OR(C17="",D17="",E17="",H17="",I17=""),"信息不完整",IF(COUNTIFS($A$6:$A$105,A17,$B$6:$B$105,B17)&gt;1,"缓存配置重复",IF(AND(C17="隐式前缀",G17&lt;&gt;""),"隐式缓存无需有效期",IF(AND(D17="强制",E17="否"),"强制选项冲突","待系统验证"))))))</f>
        <v>待系统验证</v>
      </c>
    </row>
    <row r="18" ht="31" customHeight="1">
      <c r="A18" s="9" t="inlineStr">
        <is>
          <t>claude-haiku-5-5</t>
        </is>
      </c>
      <c r="B18" s="9" t="inlineStr">
        <is>
          <t>Anthropic 官方（规划）</t>
        </is>
      </c>
      <c r="C18" s="9" t="inlineStr">
        <is>
          <t>不使用</t>
        </is>
      </c>
      <c r="D18" s="11" t="inlineStr">
        <is>
          <t>关闭</t>
        </is>
      </c>
      <c r="E18" s="11" t="inlineStr">
        <is>
          <t>否</t>
        </is>
      </c>
      <c r="F18" s="11" t="n"/>
      <c r="G18" s="12" t="n"/>
      <c r="H18" s="11" t="inlineStr">
        <is>
          <t>不适用</t>
        </is>
      </c>
      <c r="I18" s="11" t="inlineStr">
        <is>
          <t>停用</t>
        </is>
      </c>
      <c r="J18" s="9" t="inlineStr">
        <is>
          <t>Relay 主动缓存默认关闭；确认真实供应能力后再按 V5 配置。</t>
        </is>
      </c>
      <c r="K18" s="10" t="str">
        <f>IF(A18="","",IF(COUNTIFS('渠道优先级'!$A$6:$A$105,A18,'渠道优先级'!$C$6:$C$105,B18)=0,"渠道未登记",IF(OR(C18="",D18="",E18="",H18="",I18=""),"信息不完整",IF(COUNTIFS($A$6:$A$105,A18,$B$6:$B$105,B18)&gt;1,"缓存配置重复",IF(AND(C18="隐式前缀",G18&lt;&gt;""),"隐式缓存无需有效期",IF(AND(D18="强制",E18="否"),"强制选项冲突","待系统验证"))))))</f>
        <v>待系统验证</v>
      </c>
    </row>
    <row r="19" ht="31" customHeight="1">
      <c r="A19" s="9" t="inlineStr">
        <is>
          <t>gemini-3.8-flash</t>
        </is>
      </c>
      <c r="B19" s="9" t="inlineStr">
        <is>
          <t>Google 官方（规划）</t>
        </is>
      </c>
      <c r="C19" s="9" t="inlineStr">
        <is>
          <t>不使用</t>
        </is>
      </c>
      <c r="D19" s="11" t="inlineStr">
        <is>
          <t>关闭</t>
        </is>
      </c>
      <c r="E19" s="11" t="inlineStr">
        <is>
          <t>否</t>
        </is>
      </c>
      <c r="F19" s="11" t="n"/>
      <c r="G19" s="12" t="n"/>
      <c r="H19" s="11" t="inlineStr">
        <is>
          <t>不适用</t>
        </is>
      </c>
      <c r="I19" s="11" t="inlineStr">
        <is>
          <t>停用</t>
        </is>
      </c>
      <c r="J19" s="9" t="inlineStr">
        <is>
          <t>Relay 主动缓存默认关闭；确认真实供应能力后再按 V5 配置。</t>
        </is>
      </c>
      <c r="K19" s="10" t="str">
        <f>IF(A19="","",IF(COUNTIFS('渠道优先级'!$A$6:$A$105,A19,'渠道优先级'!$C$6:$C$105,B19)=0,"渠道未登记",IF(OR(C19="",D19="",E19="",H19="",I19=""),"信息不完整",IF(COUNTIFS($A$6:$A$105,A19,$B$6:$B$105,B19)&gt;1,"缓存配置重复",IF(AND(C19="隐式前缀",G19&lt;&gt;""),"隐式缓存无需有效期",IF(AND(D19="强制",E19="否"),"强制选项冲突","待系统验证"))))))</f>
        <v>待系统验证</v>
      </c>
    </row>
    <row r="20" ht="31" customHeight="1">
      <c r="A20" s="9" t="inlineStr">
        <is>
          <t>gemini-3.5-flash-lite</t>
        </is>
      </c>
      <c r="B20" s="9" t="inlineStr">
        <is>
          <t>Google 官方（规划）</t>
        </is>
      </c>
      <c r="C20" s="9" t="inlineStr">
        <is>
          <t>不使用</t>
        </is>
      </c>
      <c r="D20" s="11" t="inlineStr">
        <is>
          <t>关闭</t>
        </is>
      </c>
      <c r="E20" s="11" t="inlineStr">
        <is>
          <t>否</t>
        </is>
      </c>
      <c r="F20" s="11" t="n"/>
      <c r="G20" s="12" t="n"/>
      <c r="H20" s="11" t="inlineStr">
        <is>
          <t>不适用</t>
        </is>
      </c>
      <c r="I20" s="11" t="inlineStr">
        <is>
          <t>停用</t>
        </is>
      </c>
      <c r="J20" s="9" t="inlineStr">
        <is>
          <t>Relay 主动缓存默认关闭；确认真实供应能力后再按 V5 配置。</t>
        </is>
      </c>
      <c r="K20" s="10" t="str">
        <f>IF(A20="","",IF(COUNTIFS('渠道优先级'!$A$6:$A$105,A20,'渠道优先级'!$C$6:$C$105,B20)=0,"渠道未登记",IF(OR(C20="",D20="",E20="",H20="",I20=""),"信息不完整",IF(COUNTIFS($A$6:$A$105,A20,$B$6:$B$105,B20)&gt;1,"缓存配置重复",IF(AND(C20="隐式前缀",G20&lt;&gt;""),"隐式缓存无需有效期",IF(AND(D20="强制",E20="否"),"强制选项冲突","待系统验证"))))))</f>
        <v>待系统验证</v>
      </c>
    </row>
    <row r="21" ht="31" customHeight="1">
      <c r="A21" s="9" t="inlineStr">
        <is>
          <t>gemini-3.1-flash-lite</t>
        </is>
      </c>
      <c r="B21" s="9" t="inlineStr">
        <is>
          <t>Google 官方（规划）</t>
        </is>
      </c>
      <c r="C21" s="9" t="inlineStr">
        <is>
          <t>不使用</t>
        </is>
      </c>
      <c r="D21" s="11" t="inlineStr">
        <is>
          <t>关闭</t>
        </is>
      </c>
      <c r="E21" s="11" t="inlineStr">
        <is>
          <t>否</t>
        </is>
      </c>
      <c r="F21" s="11" t="n"/>
      <c r="G21" s="12" t="n"/>
      <c r="H21" s="11" t="inlineStr">
        <is>
          <t>不适用</t>
        </is>
      </c>
      <c r="I21" s="11" t="inlineStr">
        <is>
          <t>停用</t>
        </is>
      </c>
      <c r="J21" s="9" t="inlineStr">
        <is>
          <t>Relay 主动缓存默认关闭；确认真实供应能力后再按 V5 配置。</t>
        </is>
      </c>
      <c r="K21" s="10" t="str">
        <f>IF(A21="","",IF(COUNTIFS('渠道优先级'!$A$6:$A$105,A21,'渠道优先级'!$C$6:$C$105,B21)=0,"渠道未登记",IF(OR(C21="",D21="",E21="",H21="",I21=""),"信息不完整",IF(COUNTIFS($A$6:$A$105,A21,$B$6:$B$105,B21)&gt;1,"缓存配置重复",IF(AND(C21="隐式前缀",G21&lt;&gt;""),"隐式缓存无需有效期",IF(AND(D21="强制",E21="否"),"强制选项冲突","待系统验证"))))))</f>
        <v>待系统验证</v>
      </c>
    </row>
    <row r="22" ht="31" customHeight="1">
      <c r="A22" s="9" t="inlineStr">
        <is>
          <t>qwen3.8-max</t>
        </is>
      </c>
      <c r="B22" s="9" t="inlineStr">
        <is>
          <t>阿里云百炼（规划）</t>
        </is>
      </c>
      <c r="C22" s="9" t="inlineStr">
        <is>
          <t>不使用</t>
        </is>
      </c>
      <c r="D22" s="11" t="inlineStr">
        <is>
          <t>关闭</t>
        </is>
      </c>
      <c r="E22" s="11" t="inlineStr">
        <is>
          <t>否</t>
        </is>
      </c>
      <c r="F22" s="11" t="n"/>
      <c r="G22" s="12" t="n"/>
      <c r="H22" s="11" t="inlineStr">
        <is>
          <t>不适用</t>
        </is>
      </c>
      <c r="I22" s="11" t="inlineStr">
        <is>
          <t>停用</t>
        </is>
      </c>
      <c r="J22" s="9" t="inlineStr">
        <is>
          <t>Relay 主动缓存默认关闭；确认真实供应能力后再按 V5 配置。</t>
        </is>
      </c>
      <c r="K22" s="10" t="str">
        <f>IF(A22="","",IF(COUNTIFS('渠道优先级'!$A$6:$A$105,A22,'渠道优先级'!$C$6:$C$105,B22)=0,"渠道未登记",IF(OR(C22="",D22="",E22="",H22="",I22=""),"信息不完整",IF(COUNTIFS($A$6:$A$105,A22,$B$6:$B$105,B22)&gt;1,"缓存配置重复",IF(AND(C22="隐式前缀",G22&lt;&gt;""),"隐式缓存无需有效期",IF(AND(D22="强制",E22="否"),"强制选项冲突","待系统验证"))))))</f>
        <v>待系统验证</v>
      </c>
    </row>
    <row r="23" ht="31" customHeight="1">
      <c r="A23" s="9" t="inlineStr">
        <is>
          <t>qwen3.8-flash</t>
        </is>
      </c>
      <c r="B23" s="9" t="inlineStr">
        <is>
          <t>阿里云百炼（规划）</t>
        </is>
      </c>
      <c r="C23" s="9" t="inlineStr">
        <is>
          <t>不使用</t>
        </is>
      </c>
      <c r="D23" s="11" t="inlineStr">
        <is>
          <t>关闭</t>
        </is>
      </c>
      <c r="E23" s="11" t="inlineStr">
        <is>
          <t>否</t>
        </is>
      </c>
      <c r="F23" s="11" t="n"/>
      <c r="G23" s="12" t="n"/>
      <c r="H23" s="11" t="inlineStr">
        <is>
          <t>不适用</t>
        </is>
      </c>
      <c r="I23" s="11" t="inlineStr">
        <is>
          <t>停用</t>
        </is>
      </c>
      <c r="J23" s="9" t="inlineStr">
        <is>
          <t>Relay 主动缓存默认关闭；确认真实供应能力后再按 V5 配置。</t>
        </is>
      </c>
      <c r="K23" s="10" t="str">
        <f>IF(A23="","",IF(COUNTIFS('渠道优先级'!$A$6:$A$105,A23,'渠道优先级'!$C$6:$C$105,B23)=0,"渠道未登记",IF(OR(C23="",D23="",E23="",H23="",I23=""),"信息不完整",IF(COUNTIFS($A$6:$A$105,A23,$B$6:$B$105,B23)&gt;1,"缓存配置重复",IF(AND(C23="隐式前缀",G23&lt;&gt;""),"隐式缓存无需有效期",IF(AND(D23="强制",E23="否"),"强制选项冲突","待系统验证"))))))</f>
        <v>待系统验证</v>
      </c>
    </row>
    <row r="24" ht="31" customHeight="1">
      <c r="A24" s="9" t="inlineStr">
        <is>
          <t>qwen3.7-plus</t>
        </is>
      </c>
      <c r="B24" s="9" t="inlineStr">
        <is>
          <t>阿里云百炼（规划）</t>
        </is>
      </c>
      <c r="C24" s="9" t="inlineStr">
        <is>
          <t>不使用</t>
        </is>
      </c>
      <c r="D24" s="11" t="inlineStr">
        <is>
          <t>关闭</t>
        </is>
      </c>
      <c r="E24" s="11" t="inlineStr">
        <is>
          <t>否</t>
        </is>
      </c>
      <c r="F24" s="11" t="n"/>
      <c r="G24" s="12" t="n"/>
      <c r="H24" s="11" t="inlineStr">
        <is>
          <t>不适用</t>
        </is>
      </c>
      <c r="I24" s="11" t="inlineStr">
        <is>
          <t>停用</t>
        </is>
      </c>
      <c r="J24" s="9" t="inlineStr">
        <is>
          <t>Relay 主动缓存默认关闭；确认真实供应能力后再按 V5 配置。</t>
        </is>
      </c>
      <c r="K24" s="10" t="str">
        <f>IF(A24="","",IF(COUNTIFS('渠道优先级'!$A$6:$A$105,A24,'渠道优先级'!$C$6:$C$105,B24)=0,"渠道未登记",IF(OR(C24="",D24="",E24="",H24="",I24=""),"信息不完整",IF(COUNTIFS($A$6:$A$105,A24,$B$6:$B$105,B24)&gt;1,"缓存配置重复",IF(AND(C24="隐式前缀",G24&lt;&gt;""),"隐式缓存无需有效期",IF(AND(D24="强制",E24="否"),"强制选项冲突","待系统验证"))))))</f>
        <v>待系统验证</v>
      </c>
    </row>
    <row r="25" ht="31" customHeight="1">
      <c r="A25" s="9" t="inlineStr">
        <is>
          <t>qwen3.6-plus</t>
        </is>
      </c>
      <c r="B25" s="9" t="inlineStr">
        <is>
          <t>阿里云百炼（规划）</t>
        </is>
      </c>
      <c r="C25" s="9" t="inlineStr">
        <is>
          <t>不使用</t>
        </is>
      </c>
      <c r="D25" s="11" t="inlineStr">
        <is>
          <t>关闭</t>
        </is>
      </c>
      <c r="E25" s="11" t="inlineStr">
        <is>
          <t>否</t>
        </is>
      </c>
      <c r="F25" s="11" t="n"/>
      <c r="G25" s="12" t="n"/>
      <c r="H25" s="11" t="inlineStr">
        <is>
          <t>不适用</t>
        </is>
      </c>
      <c r="I25" s="11" t="inlineStr">
        <is>
          <t>停用</t>
        </is>
      </c>
      <c r="J25" s="9" t="inlineStr">
        <is>
          <t>Relay 主动缓存默认关闭；确认真实供应能力后再按 V5 配置。</t>
        </is>
      </c>
      <c r="K25" s="10" t="str">
        <f>IF(A25="","",IF(COUNTIFS('渠道优先级'!$A$6:$A$105,A25,'渠道优先级'!$C$6:$C$105,B25)=0,"渠道未登记",IF(OR(C25="",D25="",E25="",H25="",I25=""),"信息不完整",IF(COUNTIFS($A$6:$A$105,A25,$B$6:$B$105,B25)&gt;1,"缓存配置重复",IF(AND(C25="隐式前缀",G25&lt;&gt;""),"隐式缓存无需有效期",IF(AND(D25="强制",E25="否"),"强制选项冲突","待系统验证"))))))</f>
        <v>待系统验证</v>
      </c>
    </row>
    <row r="26" ht="31" customHeight="1">
      <c r="A26" s="9" t="inlineStr">
        <is>
          <t>qwen3.5-plus</t>
        </is>
      </c>
      <c r="B26" s="9" t="inlineStr">
        <is>
          <t>阿里云百炼（规划）</t>
        </is>
      </c>
      <c r="C26" s="9" t="inlineStr">
        <is>
          <t>不使用</t>
        </is>
      </c>
      <c r="D26" s="11" t="inlineStr">
        <is>
          <t>关闭</t>
        </is>
      </c>
      <c r="E26" s="11" t="inlineStr">
        <is>
          <t>否</t>
        </is>
      </c>
      <c r="F26" s="11" t="n"/>
      <c r="G26" s="12" t="n"/>
      <c r="H26" s="11" t="inlineStr">
        <is>
          <t>不适用</t>
        </is>
      </c>
      <c r="I26" s="11" t="inlineStr">
        <is>
          <t>停用</t>
        </is>
      </c>
      <c r="J26" s="9" t="inlineStr">
        <is>
          <t>Relay 主动缓存默认关闭；确认真实供应能力后再按 V5 配置。</t>
        </is>
      </c>
      <c r="K26" s="10" t="str">
        <f>IF(A26="","",IF(COUNTIFS('渠道优先级'!$A$6:$A$105,A26,'渠道优先级'!$C$6:$C$105,B26)=0,"渠道未登记",IF(OR(C26="",D26="",E26="",H26="",I26=""),"信息不完整",IF(COUNTIFS($A$6:$A$105,A26,$B$6:$B$105,B26)&gt;1,"缓存配置重复",IF(AND(C26="隐式前缀",G26&lt;&gt;""),"隐式缓存无需有效期",IF(AND(D26="强制",E26="否"),"强制选项冲突","待系统验证"))))))</f>
        <v>待系统验证</v>
      </c>
    </row>
    <row r="27" ht="31" customHeight="1">
      <c r="A27" s="9" t="inlineStr">
        <is>
          <t>qwen3-coder-flash</t>
        </is>
      </c>
      <c r="B27" s="9" t="inlineStr">
        <is>
          <t>阿里云百炼（规划）</t>
        </is>
      </c>
      <c r="C27" s="9" t="inlineStr">
        <is>
          <t>不使用</t>
        </is>
      </c>
      <c r="D27" s="11" t="inlineStr">
        <is>
          <t>关闭</t>
        </is>
      </c>
      <c r="E27" s="11" t="inlineStr">
        <is>
          <t>否</t>
        </is>
      </c>
      <c r="F27" s="11" t="n"/>
      <c r="G27" s="12" t="n"/>
      <c r="H27" s="11" t="inlineStr">
        <is>
          <t>不适用</t>
        </is>
      </c>
      <c r="I27" s="11" t="inlineStr">
        <is>
          <t>停用</t>
        </is>
      </c>
      <c r="J27" s="9" t="inlineStr">
        <is>
          <t>Relay 主动缓存默认关闭；确认真实供应能力后再按 V5 配置。</t>
        </is>
      </c>
      <c r="K27" s="10" t="str">
        <f>IF(A27="","",IF(COUNTIFS('渠道优先级'!$A$6:$A$105,A27,'渠道优先级'!$C$6:$C$105,B27)=0,"渠道未登记",IF(OR(C27="",D27="",E27="",H27="",I27=""),"信息不完整",IF(COUNTIFS($A$6:$A$105,A27,$B$6:$B$105,B27)&gt;1,"缓存配置重复",IF(AND(C27="隐式前缀",G27&lt;&gt;""),"隐式缓存无需有效期",IF(AND(D27="强制",E27="否"),"强制选项冲突","待系统验证"))))))</f>
        <v>待系统验证</v>
      </c>
    </row>
    <row r="28" ht="31" customHeight="1">
      <c r="A28" s="9" t="inlineStr">
        <is>
          <t>deepseek-v4-pro</t>
        </is>
      </c>
      <c r="B28" s="9" t="inlineStr">
        <is>
          <t>DeepSeek 官方（规划）</t>
        </is>
      </c>
      <c r="C28" s="9" t="inlineStr">
        <is>
          <t>不使用</t>
        </is>
      </c>
      <c r="D28" s="11" t="inlineStr">
        <is>
          <t>关闭</t>
        </is>
      </c>
      <c r="E28" s="11" t="inlineStr">
        <is>
          <t>否</t>
        </is>
      </c>
      <c r="F28" s="11" t="n"/>
      <c r="G28" s="12" t="n"/>
      <c r="H28" s="11" t="inlineStr">
        <is>
          <t>不适用</t>
        </is>
      </c>
      <c r="I28" s="11" t="inlineStr">
        <is>
          <t>停用</t>
        </is>
      </c>
      <c r="J28" s="9" t="inlineStr">
        <is>
          <t>Relay 主动缓存默认关闭；确认真实供应能力后再按 V5 配置。</t>
        </is>
      </c>
      <c r="K28" s="10" t="str">
        <f>IF(A28="","",IF(COUNTIFS('渠道优先级'!$A$6:$A$105,A28,'渠道优先级'!$C$6:$C$105,B28)=0,"渠道未登记",IF(OR(C28="",D28="",E28="",H28="",I28=""),"信息不完整",IF(COUNTIFS($A$6:$A$105,A28,$B$6:$B$105,B28)&gt;1,"缓存配置重复",IF(AND(C28="隐式前缀",G28&lt;&gt;""),"隐式缓存无需有效期",IF(AND(D28="强制",E28="否"),"强制选项冲突","待系统验证"))))))</f>
        <v>待系统验证</v>
      </c>
    </row>
    <row r="29" ht="31" customHeight="1">
      <c r="A29" s="9" t="inlineStr">
        <is>
          <t>deepseek-flash</t>
        </is>
      </c>
      <c r="B29" s="9" t="inlineStr">
        <is>
          <t>DeepSeek 官方（规划）</t>
        </is>
      </c>
      <c r="C29" s="9" t="inlineStr">
        <is>
          <t>不使用</t>
        </is>
      </c>
      <c r="D29" s="11" t="inlineStr">
        <is>
          <t>关闭</t>
        </is>
      </c>
      <c r="E29" s="11" t="inlineStr">
        <is>
          <t>否</t>
        </is>
      </c>
      <c r="F29" s="11" t="n"/>
      <c r="G29" s="12" t="n"/>
      <c r="H29" s="11" t="inlineStr">
        <is>
          <t>不适用</t>
        </is>
      </c>
      <c r="I29" s="11" t="inlineStr">
        <is>
          <t>停用</t>
        </is>
      </c>
      <c r="J29" s="9" t="inlineStr">
        <is>
          <t>Relay 主动缓存默认关闭；确认真实供应能力后再按 V5 配置。</t>
        </is>
      </c>
      <c r="K29" s="10" t="str">
        <f>IF(A29="","",IF(COUNTIFS('渠道优先级'!$A$6:$A$105,A29,'渠道优先级'!$C$6:$C$105,B29)=0,"渠道未登记",IF(OR(C29="",D29="",E29="",H29="",I29=""),"信息不完整",IF(COUNTIFS($A$6:$A$105,A29,$B$6:$B$105,B29)&gt;1,"缓存配置重复",IF(AND(C29="隐式前缀",G29&lt;&gt;""),"隐式缓存无需有效期",IF(AND(D29="强制",E29="否"),"强制选项冲突","待系统验证"))))))</f>
        <v>待系统验证</v>
      </c>
    </row>
    <row r="30" ht="31" customHeight="1">
      <c r="A30" s="9" t="inlineStr">
        <is>
          <t>kimi-k2.6</t>
        </is>
      </c>
      <c r="B30" s="9" t="inlineStr">
        <is>
          <t>阿里云百炼 Kimi（规划）</t>
        </is>
      </c>
      <c r="C30" s="9" t="inlineStr">
        <is>
          <t>不使用</t>
        </is>
      </c>
      <c r="D30" s="11" t="inlineStr">
        <is>
          <t>关闭</t>
        </is>
      </c>
      <c r="E30" s="11" t="inlineStr">
        <is>
          <t>否</t>
        </is>
      </c>
      <c r="F30" s="11" t="n"/>
      <c r="G30" s="12" t="n"/>
      <c r="H30" s="11" t="inlineStr">
        <is>
          <t>不适用</t>
        </is>
      </c>
      <c r="I30" s="11" t="inlineStr">
        <is>
          <t>停用</t>
        </is>
      </c>
      <c r="J30" s="9" t="inlineStr">
        <is>
          <t>Relay 主动缓存默认关闭；确认真实供应能力后再按 V5 配置。</t>
        </is>
      </c>
      <c r="K30" s="10" t="str">
        <f>IF(A30="","",IF(COUNTIFS('渠道优先级'!$A$6:$A$105,A30,'渠道优先级'!$C$6:$C$105,B30)=0,"渠道未登记",IF(OR(C30="",D30="",E30="",H30="",I30=""),"信息不完整",IF(COUNTIFS($A$6:$A$105,A30,$B$6:$B$105,B30)&gt;1,"缓存配置重复",IF(AND(C30="隐式前缀",G30&lt;&gt;""),"隐式缓存无需有效期",IF(AND(D30="强制",E30="否"),"强制选项冲突","待系统验证"))))))</f>
        <v>待系统验证</v>
      </c>
    </row>
    <row r="31" ht="31" customHeight="1">
      <c r="A31" s="9" t="inlineStr">
        <is>
          <t>kimi-k2.5</t>
        </is>
      </c>
      <c r="B31" s="9" t="inlineStr">
        <is>
          <t>阿里云百炼 Kimi（规划）</t>
        </is>
      </c>
      <c r="C31" s="9" t="inlineStr">
        <is>
          <t>不使用</t>
        </is>
      </c>
      <c r="D31" s="11" t="inlineStr">
        <is>
          <t>关闭</t>
        </is>
      </c>
      <c r="E31" s="11" t="inlineStr">
        <is>
          <t>否</t>
        </is>
      </c>
      <c r="F31" s="11" t="n"/>
      <c r="G31" s="12" t="n"/>
      <c r="H31" s="11" t="inlineStr">
        <is>
          <t>不适用</t>
        </is>
      </c>
      <c r="I31" s="11" t="inlineStr">
        <is>
          <t>停用</t>
        </is>
      </c>
      <c r="J31" s="9" t="inlineStr">
        <is>
          <t>Relay 主动缓存默认关闭；确认真实供应能力后再按 V5 配置。</t>
        </is>
      </c>
      <c r="K31" s="10" t="str">
        <f>IF(A31="","",IF(COUNTIFS('渠道优先级'!$A$6:$A$105,A31,'渠道优先级'!$C$6:$C$105,B31)=0,"渠道未登记",IF(OR(C31="",D31="",E31="",H31="",I31=""),"信息不完整",IF(COUNTIFS($A$6:$A$105,A31,$B$6:$B$105,B31)&gt;1,"缓存配置重复",IF(AND(C31="隐式前缀",G31&lt;&gt;""),"隐式缓存无需有效期",IF(AND(D31="强制",E31="否"),"强制选项冲突","待系统验证"))))))</f>
        <v>待系统验证</v>
      </c>
    </row>
    <row r="32" ht="31" customHeight="1">
      <c r="A32" s="9" t="inlineStr">
        <is>
          <t>glm-5.3</t>
        </is>
      </c>
      <c r="B32" s="9" t="inlineStr">
        <is>
          <t>智谱官方（规划）</t>
        </is>
      </c>
      <c r="C32" s="9" t="inlineStr">
        <is>
          <t>不使用</t>
        </is>
      </c>
      <c r="D32" s="11" t="inlineStr">
        <is>
          <t>关闭</t>
        </is>
      </c>
      <c r="E32" s="11" t="inlineStr">
        <is>
          <t>否</t>
        </is>
      </c>
      <c r="F32" s="11" t="n"/>
      <c r="G32" s="12" t="n"/>
      <c r="H32" s="11" t="inlineStr">
        <is>
          <t>不适用</t>
        </is>
      </c>
      <c r="I32" s="11" t="inlineStr">
        <is>
          <t>停用</t>
        </is>
      </c>
      <c r="J32" s="9" t="inlineStr">
        <is>
          <t>Relay 主动缓存默认关闭；确认真实供应能力后再按 V5 配置。</t>
        </is>
      </c>
      <c r="K32" s="10" t="str">
        <f>IF(A32="","",IF(COUNTIFS('渠道优先级'!$A$6:$A$105,A32,'渠道优先级'!$C$6:$C$105,B32)=0,"渠道未登记",IF(OR(C32="",D32="",E32="",H32="",I32=""),"信息不完整",IF(COUNTIFS($A$6:$A$105,A32,$B$6:$B$105,B32)&gt;1,"缓存配置重复",IF(AND(C32="隐式前缀",G32&lt;&gt;""),"隐式缓存无需有效期",IF(AND(D32="强制",E32="否"),"强制选项冲突","待系统验证"))))))</f>
        <v>待系统验证</v>
      </c>
    </row>
    <row r="33" ht="31" customHeight="1">
      <c r="A33" s="9" t="inlineStr">
        <is>
          <t>glm-5.2</t>
        </is>
      </c>
      <c r="B33" s="9" t="inlineStr">
        <is>
          <t>智谱官方（规划）</t>
        </is>
      </c>
      <c r="C33" s="9" t="inlineStr">
        <is>
          <t>不使用</t>
        </is>
      </c>
      <c r="D33" s="11" t="inlineStr">
        <is>
          <t>关闭</t>
        </is>
      </c>
      <c r="E33" s="11" t="inlineStr">
        <is>
          <t>否</t>
        </is>
      </c>
      <c r="F33" s="11" t="n"/>
      <c r="G33" s="12" t="n"/>
      <c r="H33" s="11" t="inlineStr">
        <is>
          <t>不适用</t>
        </is>
      </c>
      <c r="I33" s="11" t="inlineStr">
        <is>
          <t>停用</t>
        </is>
      </c>
      <c r="J33" s="9" t="inlineStr">
        <is>
          <t>Relay 主动缓存默认关闭；确认真实供应能力后再按 V5 配置。</t>
        </is>
      </c>
      <c r="K33" s="10" t="str">
        <f>IF(A33="","",IF(COUNTIFS('渠道优先级'!$A$6:$A$105,A33,'渠道优先级'!$C$6:$C$105,B33)=0,"渠道未登记",IF(OR(C33="",D33="",E33="",H33="",I33=""),"信息不完整",IF(COUNTIFS($A$6:$A$105,A33,$B$6:$B$105,B33)&gt;1,"缓存配置重复",IF(AND(C33="隐式前缀",G33&lt;&gt;""),"隐式缓存无需有效期",IF(AND(D33="强制",E33="否"),"强制选项冲突","待系统验证"))))))</f>
        <v>待系统验证</v>
      </c>
    </row>
    <row r="34" ht="31" customHeight="1">
      <c r="A34" s="9" t="inlineStr">
        <is>
          <t>MiniMax-M3</t>
        </is>
      </c>
      <c r="B34" s="9" t="inlineStr">
        <is>
          <t>MiniMax 官方（规划）</t>
        </is>
      </c>
      <c r="C34" s="9" t="inlineStr">
        <is>
          <t>不使用</t>
        </is>
      </c>
      <c r="D34" s="11" t="inlineStr">
        <is>
          <t>关闭</t>
        </is>
      </c>
      <c r="E34" s="11" t="inlineStr">
        <is>
          <t>否</t>
        </is>
      </c>
      <c r="F34" s="11" t="n"/>
      <c r="G34" s="12" t="n"/>
      <c r="H34" s="11" t="inlineStr">
        <is>
          <t>不适用</t>
        </is>
      </c>
      <c r="I34" s="11" t="inlineStr">
        <is>
          <t>停用</t>
        </is>
      </c>
      <c r="J34" s="9" t="inlineStr">
        <is>
          <t>Relay 主动缓存默认关闭；确认真实供应能力后再按 V5 配置。</t>
        </is>
      </c>
      <c r="K34" s="10" t="str">
        <f>IF(A34="","",IF(COUNTIFS('渠道优先级'!$A$6:$A$105,A34,'渠道优先级'!$C$6:$C$105,B34)=0,"渠道未登记",IF(OR(C34="",D34="",E34="",H34="",I34=""),"信息不完整",IF(COUNTIFS($A$6:$A$105,A34,$B$6:$B$105,B34)&gt;1,"缓存配置重复",IF(AND(C34="隐式前缀",G34&lt;&gt;""),"隐式缓存无需有效期",IF(AND(D34="强制",E34="否"),"强制选项冲突","待系统验证"))))))</f>
        <v>待系统验证</v>
      </c>
    </row>
    <row r="35" ht="31" customHeight="1">
      <c r="A35" s="9" t="inlineStr">
        <is>
          <t>MiniMax-M2.7</t>
        </is>
      </c>
      <c r="B35" s="9" t="inlineStr">
        <is>
          <t>MiniMax 官方（规划）</t>
        </is>
      </c>
      <c r="C35" s="9" t="inlineStr">
        <is>
          <t>不使用</t>
        </is>
      </c>
      <c r="D35" s="11" t="inlineStr">
        <is>
          <t>关闭</t>
        </is>
      </c>
      <c r="E35" s="11" t="inlineStr">
        <is>
          <t>否</t>
        </is>
      </c>
      <c r="F35" s="11" t="n"/>
      <c r="G35" s="12" t="n"/>
      <c r="H35" s="11" t="inlineStr">
        <is>
          <t>不适用</t>
        </is>
      </c>
      <c r="I35" s="11" t="inlineStr">
        <is>
          <t>停用</t>
        </is>
      </c>
      <c r="J35" s="9" t="inlineStr">
        <is>
          <t>Relay 主动缓存默认关闭；确认真实供应能力后再按 V5 配置。</t>
        </is>
      </c>
      <c r="K35" s="10" t="str">
        <f>IF(A35="","",IF(COUNTIFS('渠道优先级'!$A$6:$A$105,A35,'渠道优先级'!$C$6:$C$105,B35)=0,"渠道未登记",IF(OR(C35="",D35="",E35="",H35="",I35=""),"信息不完整",IF(COUNTIFS($A$6:$A$105,A35,$B$6:$B$105,B35)&gt;1,"缓存配置重复",IF(AND(C35="隐式前缀",G35&lt;&gt;""),"隐式缓存无需有效期",IF(AND(D35="强制",E35="否"),"强制选项冲突","待系统验证"))))))</f>
        <v>待系统验证</v>
      </c>
    </row>
    <row r="36" ht="31" customHeight="1">
      <c r="A36" s="9" t="inlineStr">
        <is>
          <t>MiniMax-M2.5</t>
        </is>
      </c>
      <c r="B36" s="9" t="inlineStr">
        <is>
          <t>MiniMax 官方（规划）</t>
        </is>
      </c>
      <c r="C36" s="9" t="inlineStr">
        <is>
          <t>不使用</t>
        </is>
      </c>
      <c r="D36" s="11" t="inlineStr">
        <is>
          <t>关闭</t>
        </is>
      </c>
      <c r="E36" s="11" t="inlineStr">
        <is>
          <t>否</t>
        </is>
      </c>
      <c r="F36" s="11" t="n"/>
      <c r="G36" s="12" t="n"/>
      <c r="H36" s="11" t="inlineStr">
        <is>
          <t>不适用</t>
        </is>
      </c>
      <c r="I36" s="11" t="inlineStr">
        <is>
          <t>停用</t>
        </is>
      </c>
      <c r="J36" s="9" t="inlineStr">
        <is>
          <t>Relay 主动缓存默认关闭；确认真实供应能力后再按 V5 配置。</t>
        </is>
      </c>
      <c r="K36" s="10" t="str">
        <f>IF(A36="","",IF(COUNTIFS('渠道优先级'!$A$6:$A$105,A36,'渠道优先级'!$C$6:$C$105,B36)=0,"渠道未登记",IF(OR(C36="",D36="",E36="",H36="",I36=""),"信息不完整",IF(COUNTIFS($A$6:$A$105,A36,$B$6:$B$105,B36)&gt;1,"缓存配置重复",IF(AND(C36="隐式前缀",G36&lt;&gt;""),"隐式缓存无需有效期",IF(AND(D36="强制",E36="否"),"强制选项冲突","待系统验证"))))))</f>
        <v>待系统验证</v>
      </c>
    </row>
    <row r="37" ht="31" customHeight="1">
      <c r="A37" s="9" t="inlineStr">
        <is>
          <t>grok-4.7</t>
        </is>
      </c>
      <c r="B37" s="9" t="inlineStr">
        <is>
          <t>xAI 官方（规划）</t>
        </is>
      </c>
      <c r="C37" s="9" t="inlineStr">
        <is>
          <t>不使用</t>
        </is>
      </c>
      <c r="D37" s="11" t="inlineStr">
        <is>
          <t>关闭</t>
        </is>
      </c>
      <c r="E37" s="11" t="inlineStr">
        <is>
          <t>否</t>
        </is>
      </c>
      <c r="F37" s="11" t="n"/>
      <c r="G37" s="12" t="n"/>
      <c r="H37" s="11" t="inlineStr">
        <is>
          <t>不适用</t>
        </is>
      </c>
      <c r="I37" s="11" t="inlineStr">
        <is>
          <t>停用</t>
        </is>
      </c>
      <c r="J37" s="9" t="inlineStr">
        <is>
          <t>Relay 主动缓存默认关闭；确认真实供应能力后再按 V5 配置。</t>
        </is>
      </c>
      <c r="K37" s="10" t="str">
        <f>IF(A37="","",IF(COUNTIFS('渠道优先级'!$A$6:$A$105,A37,'渠道优先级'!$C$6:$C$105,B37)=0,"渠道未登记",IF(OR(C37="",D37="",E37="",H37="",I37=""),"信息不完整",IF(COUNTIFS($A$6:$A$105,A37,$B$6:$B$105,B37)&gt;1,"缓存配置重复",IF(AND(C37="隐式前缀",G37&lt;&gt;""),"隐式缓存无需有效期",IF(AND(D37="强制",E37="否"),"强制选项冲突","待系统验证"))))))</f>
        <v>待系统验证</v>
      </c>
    </row>
    <row r="38" ht="31" customHeight="1">
      <c r="A38" s="9" t="inlineStr">
        <is>
          <t>mistral-large-4</t>
        </is>
      </c>
      <c r="B38" s="9" t="inlineStr">
        <is>
          <t>Mistral 官方（规划）</t>
        </is>
      </c>
      <c r="C38" s="9" t="inlineStr">
        <is>
          <t>不使用</t>
        </is>
      </c>
      <c r="D38" s="11" t="inlineStr">
        <is>
          <t>关闭</t>
        </is>
      </c>
      <c r="E38" s="11" t="inlineStr">
        <is>
          <t>否</t>
        </is>
      </c>
      <c r="F38" s="11" t="n"/>
      <c r="G38" s="12" t="n"/>
      <c r="H38" s="11" t="inlineStr">
        <is>
          <t>不适用</t>
        </is>
      </c>
      <c r="I38" s="11" t="inlineStr">
        <is>
          <t>停用</t>
        </is>
      </c>
      <c r="J38" s="9" t="inlineStr">
        <is>
          <t>Relay 主动缓存默认关闭；确认真实供应能力后再按 V5 配置。</t>
        </is>
      </c>
      <c r="K38" s="10" t="str">
        <f>IF(A38="","",IF(COUNTIFS('渠道优先级'!$A$6:$A$105,A38,'渠道优先级'!$C$6:$C$105,B38)=0,"渠道未登记",IF(OR(C38="",D38="",E38="",H38="",I38=""),"信息不完整",IF(COUNTIFS($A$6:$A$105,A38,$B$6:$B$105,B38)&gt;1,"缓存配置重复",IF(AND(C38="隐式前缀",G38&lt;&gt;""),"隐式缓存无需有效期",IF(AND(D38="强制",E38="否"),"强制选项冲突","待系统验证"))))))</f>
        <v>待系统验证</v>
      </c>
    </row>
    <row r="39" ht="31" customHeight="1">
      <c r="A39" s="9" t="inlineStr">
        <is>
          <t>mistral-medium-latest</t>
        </is>
      </c>
      <c r="B39" s="9" t="inlineStr">
        <is>
          <t>Mistral 官方（规划）</t>
        </is>
      </c>
      <c r="C39" s="9" t="inlineStr">
        <is>
          <t>不使用</t>
        </is>
      </c>
      <c r="D39" s="11" t="inlineStr">
        <is>
          <t>关闭</t>
        </is>
      </c>
      <c r="E39" s="11" t="inlineStr">
        <is>
          <t>否</t>
        </is>
      </c>
      <c r="F39" s="11" t="n"/>
      <c r="G39" s="12" t="n"/>
      <c r="H39" s="11" t="inlineStr">
        <is>
          <t>不适用</t>
        </is>
      </c>
      <c r="I39" s="11" t="inlineStr">
        <is>
          <t>停用</t>
        </is>
      </c>
      <c r="J39" s="9" t="inlineStr">
        <is>
          <t>Relay 主动缓存默认关闭；确认真实供应能力后再按 V5 配置。</t>
        </is>
      </c>
      <c r="K39" s="10" t="str">
        <f>IF(A39="","",IF(COUNTIFS('渠道优先级'!$A$6:$A$105,A39,'渠道优先级'!$C$6:$C$105,B39)=0,"渠道未登记",IF(OR(C39="",D39="",E39="",H39="",I39=""),"信息不完整",IF(COUNTIFS($A$6:$A$105,A39,$B$6:$B$105,B39)&gt;1,"缓存配置重复",IF(AND(C39="隐式前缀",G39&lt;&gt;""),"隐式缓存无需有效期",IF(AND(D39="强制",E39="否"),"强制选项冲突","待系统验证"))))))</f>
        <v>待系统验证</v>
      </c>
    </row>
    <row r="40" ht="31" customHeight="1">
      <c r="A40" s="9" t="inlineStr">
        <is>
          <t>mistral-small-latest</t>
        </is>
      </c>
      <c r="B40" s="9" t="inlineStr">
        <is>
          <t>Mistral 官方（规划）</t>
        </is>
      </c>
      <c r="C40" s="9" t="inlineStr">
        <is>
          <t>不使用</t>
        </is>
      </c>
      <c r="D40" s="11" t="inlineStr">
        <is>
          <t>关闭</t>
        </is>
      </c>
      <c r="E40" s="11" t="inlineStr">
        <is>
          <t>否</t>
        </is>
      </c>
      <c r="F40" s="11" t="n"/>
      <c r="G40" s="12" t="n"/>
      <c r="H40" s="11" t="inlineStr">
        <is>
          <t>不适用</t>
        </is>
      </c>
      <c r="I40" s="11" t="inlineStr">
        <is>
          <t>停用</t>
        </is>
      </c>
      <c r="J40" s="9" t="inlineStr">
        <is>
          <t>Relay 主动缓存默认关闭；确认真实供应能力后再按 V5 配置。</t>
        </is>
      </c>
      <c r="K40" s="10" t="str">
        <f>IF(A40="","",IF(COUNTIFS('渠道优先级'!$A$6:$A$105,A40,'渠道优先级'!$C$6:$C$105,B40)=0,"渠道未登记",IF(OR(C40="",D40="",E40="",H40="",I40=""),"信息不完整",IF(COUNTIFS($A$6:$A$105,A40,$B$6:$B$105,B40)&gt;1,"缓存配置重复",IF(AND(C40="隐式前缀",G40&lt;&gt;""),"隐式缓存无需有效期",IF(AND(D40="强制",E40="否"),"强制选项冲突","待系统验证"))))))</f>
        <v>待系统验证</v>
      </c>
    </row>
    <row r="41" ht="31" customHeight="1">
      <c r="A41" s="9" t="inlineStr">
        <is>
          <t>magistral-medium-latest</t>
        </is>
      </c>
      <c r="B41" s="9" t="inlineStr">
        <is>
          <t>Mistral 官方（规划）</t>
        </is>
      </c>
      <c r="C41" s="9" t="inlineStr">
        <is>
          <t>不使用</t>
        </is>
      </c>
      <c r="D41" s="11" t="inlineStr">
        <is>
          <t>关闭</t>
        </is>
      </c>
      <c r="E41" s="11" t="inlineStr">
        <is>
          <t>否</t>
        </is>
      </c>
      <c r="F41" s="11" t="n"/>
      <c r="G41" s="12" t="n"/>
      <c r="H41" s="11" t="inlineStr">
        <is>
          <t>不适用</t>
        </is>
      </c>
      <c r="I41" s="11" t="inlineStr">
        <is>
          <t>停用</t>
        </is>
      </c>
      <c r="J41" s="9" t="inlineStr">
        <is>
          <t>Relay 主动缓存默认关闭；确认真实供应能力后再按 V5 配置。</t>
        </is>
      </c>
      <c r="K41" s="10" t="str">
        <f>IF(A41="","",IF(COUNTIFS('渠道优先级'!$A$6:$A$105,A41,'渠道优先级'!$C$6:$C$105,B41)=0,"渠道未登记",IF(OR(C41="",D41="",E41="",H41="",I41=""),"信息不完整",IF(COUNTIFS($A$6:$A$105,A41,$B$6:$B$105,B41)&gt;1,"缓存配置重复",IF(AND(C41="隐式前缀",G41&lt;&gt;""),"隐式缓存无需有效期",IF(AND(D41="强制",E41="否"),"强制选项冲突","待系统验证"))))))</f>
        <v>待系统验证</v>
      </c>
    </row>
    <row r="42" ht="31" customHeight="1">
      <c r="A42" s="9" t="inlineStr">
        <is>
          <t>doubao-seed-2-1-pro-260915</t>
        </is>
      </c>
      <c r="B42" s="9" t="inlineStr">
        <is>
          <t>火山方舟（规划）</t>
        </is>
      </c>
      <c r="C42" s="9" t="inlineStr">
        <is>
          <t>不使用</t>
        </is>
      </c>
      <c r="D42" s="11" t="inlineStr">
        <is>
          <t>关闭</t>
        </is>
      </c>
      <c r="E42" s="11" t="inlineStr">
        <is>
          <t>否</t>
        </is>
      </c>
      <c r="F42" s="11" t="n"/>
      <c r="G42" s="12" t="n"/>
      <c r="H42" s="11" t="inlineStr">
        <is>
          <t>不适用</t>
        </is>
      </c>
      <c r="I42" s="11" t="inlineStr">
        <is>
          <t>停用</t>
        </is>
      </c>
      <c r="J42" s="9" t="inlineStr">
        <is>
          <t>Relay 主动缓存默认关闭；确认真实供应能力后再按 V5 配置。</t>
        </is>
      </c>
      <c r="K42" s="10" t="str">
        <f>IF(A42="","",IF(COUNTIFS('渠道优先级'!$A$6:$A$105,A42,'渠道优先级'!$C$6:$C$105,B42)=0,"渠道未登记",IF(OR(C42="",D42="",E42="",H42="",I42=""),"信息不完整",IF(COUNTIFS($A$6:$A$105,A42,$B$6:$B$105,B42)&gt;1,"缓存配置重复",IF(AND(C42="隐式前缀",G42&lt;&gt;""),"隐式缓存无需有效期",IF(AND(D42="强制",E42="否"),"强制选项冲突","待系统验证"))))))</f>
        <v>待系统验证</v>
      </c>
    </row>
    <row r="43" ht="31" customHeight="1">
      <c r="A43" s="9" t="inlineStr">
        <is>
          <t>doubao-seed-2-1-lite-260915</t>
        </is>
      </c>
      <c r="B43" s="9" t="inlineStr">
        <is>
          <t>火山方舟（规划）</t>
        </is>
      </c>
      <c r="C43" s="9" t="inlineStr">
        <is>
          <t>不使用</t>
        </is>
      </c>
      <c r="D43" s="11" t="inlineStr">
        <is>
          <t>关闭</t>
        </is>
      </c>
      <c r="E43" s="11" t="inlineStr">
        <is>
          <t>否</t>
        </is>
      </c>
      <c r="F43" s="11" t="n"/>
      <c r="G43" s="12" t="n"/>
      <c r="H43" s="11" t="inlineStr">
        <is>
          <t>不适用</t>
        </is>
      </c>
      <c r="I43" s="11" t="inlineStr">
        <is>
          <t>停用</t>
        </is>
      </c>
      <c r="J43" s="9" t="inlineStr">
        <is>
          <t>Relay 主动缓存默认关闭；确认真实供应能力后再按 V5 配置。</t>
        </is>
      </c>
      <c r="K43" s="10" t="str">
        <f>IF(A43="","",IF(COUNTIFS('渠道优先级'!$A$6:$A$105,A43,'渠道优先级'!$C$6:$C$105,B43)=0,"渠道未登记",IF(OR(C43="",D43="",E43="",H43="",I43=""),"信息不完整",IF(COUNTIFS($A$6:$A$105,A43,$B$6:$B$105,B43)&gt;1,"缓存配置重复",IF(AND(C43="隐式前缀",G43&lt;&gt;""),"隐式缓存无需有效期",IF(AND(D43="强制",E43="否"),"强制选项冲突","待系统验证"))))))</f>
        <v>待系统验证</v>
      </c>
    </row>
    <row r="44" ht="31" customHeight="1">
      <c r="A44" s="9" t="inlineStr">
        <is>
          <t>doubao-seed-2-1-turbo-260628</t>
        </is>
      </c>
      <c r="B44" s="9" t="inlineStr">
        <is>
          <t>火山方舟（规划）</t>
        </is>
      </c>
      <c r="C44" s="9" t="inlineStr">
        <is>
          <t>不使用</t>
        </is>
      </c>
      <c r="D44" s="11" t="inlineStr">
        <is>
          <t>关闭</t>
        </is>
      </c>
      <c r="E44" s="11" t="inlineStr">
        <is>
          <t>否</t>
        </is>
      </c>
      <c r="F44" s="11" t="n"/>
      <c r="G44" s="12" t="n"/>
      <c r="H44" s="11" t="inlineStr">
        <is>
          <t>不适用</t>
        </is>
      </c>
      <c r="I44" s="11" t="inlineStr">
        <is>
          <t>停用</t>
        </is>
      </c>
      <c r="J44" s="9" t="inlineStr">
        <is>
          <t>Relay 主动缓存默认关闭；确认真实供应能力后再按 V5 配置。</t>
        </is>
      </c>
      <c r="K44" s="10" t="str">
        <f>IF(A44="","",IF(COUNTIFS('渠道优先级'!$A$6:$A$105,A44,'渠道优先级'!$C$6:$C$105,B44)=0,"渠道未登记",IF(OR(C44="",D44="",E44="",H44="",I44=""),"信息不完整",IF(COUNTIFS($A$6:$A$105,A44,$B$6:$B$105,B44)&gt;1,"缓存配置重复",IF(AND(C44="隐式前缀",G44&lt;&gt;""),"隐式缓存无需有效期",IF(AND(D44="强制",E44="否"),"强制选项冲突","待系统验证"))))))</f>
        <v>待系统验证</v>
      </c>
    </row>
    <row r="45" ht="31" customHeight="1">
      <c r="A45" s="9" t="inlineStr">
        <is>
          <t>ernie-5.1</t>
        </is>
      </c>
      <c r="B45" s="9" t="inlineStr">
        <is>
          <t>百度千帆（规划）</t>
        </is>
      </c>
      <c r="C45" s="9" t="inlineStr">
        <is>
          <t>不使用</t>
        </is>
      </c>
      <c r="D45" s="11" t="inlineStr">
        <is>
          <t>关闭</t>
        </is>
      </c>
      <c r="E45" s="11" t="inlineStr">
        <is>
          <t>否</t>
        </is>
      </c>
      <c r="F45" s="11" t="n"/>
      <c r="G45" s="12" t="n"/>
      <c r="H45" s="11" t="inlineStr">
        <is>
          <t>不适用</t>
        </is>
      </c>
      <c r="I45" s="11" t="inlineStr">
        <is>
          <t>停用</t>
        </is>
      </c>
      <c r="J45" s="9" t="inlineStr">
        <is>
          <t>Relay 主动缓存默认关闭；确认真实供应能力后再按 V5 配置。</t>
        </is>
      </c>
      <c r="K45" s="10" t="str">
        <f>IF(A45="","",IF(COUNTIFS('渠道优先级'!$A$6:$A$105,A45,'渠道优先级'!$C$6:$C$105,B45)=0,"渠道未登记",IF(OR(C45="",D45="",E45="",H45="",I45=""),"信息不完整",IF(COUNTIFS($A$6:$A$105,A45,$B$6:$B$105,B45)&gt;1,"缓存配置重复",IF(AND(C45="隐式前缀",G45&lt;&gt;""),"隐式缓存无需有效期",IF(AND(D45="强制",E45="否"),"强制选项冲突","待系统验证"))))))</f>
        <v>待系统验证</v>
      </c>
    </row>
    <row r="46" ht="31" customHeight="1">
      <c r="A46" s="9" t="inlineStr">
        <is>
          <t>ernie-5.0</t>
        </is>
      </c>
      <c r="B46" s="9" t="inlineStr">
        <is>
          <t>百度千帆（规划）</t>
        </is>
      </c>
      <c r="C46" s="9" t="inlineStr">
        <is>
          <t>不使用</t>
        </is>
      </c>
      <c r="D46" s="11" t="inlineStr">
        <is>
          <t>关闭</t>
        </is>
      </c>
      <c r="E46" s="11" t="inlineStr">
        <is>
          <t>否</t>
        </is>
      </c>
      <c r="F46" s="11" t="n"/>
      <c r="G46" s="12" t="n"/>
      <c r="H46" s="11" t="inlineStr">
        <is>
          <t>不适用</t>
        </is>
      </c>
      <c r="I46" s="11" t="inlineStr">
        <is>
          <t>停用</t>
        </is>
      </c>
      <c r="J46" s="9" t="inlineStr">
        <is>
          <t>Relay 主动缓存默认关闭；确认真实供应能力后再按 V5 配置。</t>
        </is>
      </c>
      <c r="K46" s="10" t="str">
        <f>IF(A46="","",IF(COUNTIFS('渠道优先级'!$A$6:$A$105,A46,'渠道优先级'!$C$6:$C$105,B46)=0,"渠道未登记",IF(OR(C46="",D46="",E46="",H46="",I46=""),"信息不完整",IF(COUNTIFS($A$6:$A$105,A46,$B$6:$B$105,B46)&gt;1,"缓存配置重复",IF(AND(C46="隐式前缀",G46&lt;&gt;""),"隐式缓存无需有效期",IF(AND(D46="强制",E46="否"),"强制选项冲突","待系统验证"))))))</f>
        <v>待系统验证</v>
      </c>
    </row>
    <row r="47" ht="31" customHeight="1">
      <c r="A47" s="9" t="inlineStr">
        <is>
          <t>hunyuan-turbos-latest</t>
        </is>
      </c>
      <c r="B47" s="9" t="inlineStr">
        <is>
          <t>腾讯混元（规划）</t>
        </is>
      </c>
      <c r="C47" s="9" t="inlineStr">
        <is>
          <t>不使用</t>
        </is>
      </c>
      <c r="D47" s="11" t="inlineStr">
        <is>
          <t>关闭</t>
        </is>
      </c>
      <c r="E47" s="11" t="inlineStr">
        <is>
          <t>否</t>
        </is>
      </c>
      <c r="F47" s="11" t="n"/>
      <c r="G47" s="12" t="n"/>
      <c r="H47" s="11" t="inlineStr">
        <is>
          <t>不适用</t>
        </is>
      </c>
      <c r="I47" s="11" t="inlineStr">
        <is>
          <t>停用</t>
        </is>
      </c>
      <c r="J47" s="9" t="inlineStr">
        <is>
          <t>Relay 主动缓存默认关闭；确认真实供应能力后再按 V5 配置。</t>
        </is>
      </c>
      <c r="K47" s="10" t="str">
        <f>IF(A47="","",IF(COUNTIFS('渠道优先级'!$A$6:$A$105,A47,'渠道优先级'!$C$6:$C$105,B47)=0,"渠道未登记",IF(OR(C47="",D47="",E47="",H47="",I47=""),"信息不完整",IF(COUNTIFS($A$6:$A$105,A47,$B$6:$B$105,B47)&gt;1,"缓存配置重复",IF(AND(C47="隐式前缀",G47&lt;&gt;""),"隐式缓存无需有效期",IF(AND(D47="强制",E47="否"),"强制选项冲突","待系统验证"))))))</f>
        <v>待系统验证</v>
      </c>
    </row>
    <row r="48" ht="31" customHeight="1">
      <c r="A48" s="9" t="inlineStr">
        <is>
          <t>hunyuan-t1</t>
        </is>
      </c>
      <c r="B48" s="9" t="inlineStr">
        <is>
          <t>腾讯混元（规划）</t>
        </is>
      </c>
      <c r="C48" s="9" t="inlineStr">
        <is>
          <t>不使用</t>
        </is>
      </c>
      <c r="D48" s="11" t="inlineStr">
        <is>
          <t>关闭</t>
        </is>
      </c>
      <c r="E48" s="11" t="inlineStr">
        <is>
          <t>否</t>
        </is>
      </c>
      <c r="F48" s="11" t="n"/>
      <c r="G48" s="12" t="n"/>
      <c r="H48" s="11" t="inlineStr">
        <is>
          <t>不适用</t>
        </is>
      </c>
      <c r="I48" s="11" t="inlineStr">
        <is>
          <t>停用</t>
        </is>
      </c>
      <c r="J48" s="9" t="inlineStr">
        <is>
          <t>Relay 主动缓存默认关闭；确认真实供应能力后再按 V5 配置。</t>
        </is>
      </c>
      <c r="K48" s="10" t="str">
        <f>IF(A48="","",IF(COUNTIFS('渠道优先级'!$A$6:$A$105,A48,'渠道优先级'!$C$6:$C$105,B48)=0,"渠道未登记",IF(OR(C48="",D48="",E48="",H48="",I48=""),"信息不完整",IF(COUNTIFS($A$6:$A$105,A48,$B$6:$B$105,B48)&gt;1,"缓存配置重复",IF(AND(C48="隐式前缀",G48&lt;&gt;""),"隐式缓存无需有效期",IF(AND(D48="强制",E48="否"),"强制选项冲突","待系统验证"))))))</f>
        <v>待系统验证</v>
      </c>
    </row>
    <row r="49" ht="31" customHeight="1">
      <c r="A49" s="9" t="inlineStr">
        <is>
          <t>llama-4-maverick</t>
        </is>
      </c>
      <c r="B49" s="9" t="inlineStr">
        <is>
          <t>自托管 Llama（规划）</t>
        </is>
      </c>
      <c r="C49" s="9" t="inlineStr">
        <is>
          <t>不使用</t>
        </is>
      </c>
      <c r="D49" s="11" t="inlineStr">
        <is>
          <t>关闭</t>
        </is>
      </c>
      <c r="E49" s="11" t="inlineStr">
        <is>
          <t>否</t>
        </is>
      </c>
      <c r="F49" s="11" t="n"/>
      <c r="G49" s="12" t="n"/>
      <c r="H49" s="11" t="inlineStr">
        <is>
          <t>不适用</t>
        </is>
      </c>
      <c r="I49" s="11" t="inlineStr">
        <is>
          <t>停用</t>
        </is>
      </c>
      <c r="J49" s="9" t="inlineStr">
        <is>
          <t>Relay 主动缓存默认关闭；确认真实供应能力后再按 V5 配置。</t>
        </is>
      </c>
      <c r="K49" s="10" t="str">
        <f>IF(A49="","",IF(COUNTIFS('渠道优先级'!$A$6:$A$105,A49,'渠道优先级'!$C$6:$C$105,B49)=0,"渠道未登记",IF(OR(C49="",D49="",E49="",H49="",I49=""),"信息不完整",IF(COUNTIFS($A$6:$A$105,A49,$B$6:$B$105,B49)&gt;1,"缓存配置重复",IF(AND(C49="隐式前缀",G49&lt;&gt;""),"隐式缓存无需有效期",IF(AND(D49="强制",E49="否"),"强制选项冲突","待系统验证"))))))</f>
        <v>待系统验证</v>
      </c>
    </row>
    <row r="50" ht="31" customHeight="1">
      <c r="A50" s="9" t="inlineStr">
        <is>
          <t>llama-4-scout</t>
        </is>
      </c>
      <c r="B50" s="9" t="inlineStr">
        <is>
          <t>自托管 Llama（规划）</t>
        </is>
      </c>
      <c r="C50" s="9" t="inlineStr">
        <is>
          <t>不使用</t>
        </is>
      </c>
      <c r="D50" s="11" t="inlineStr">
        <is>
          <t>关闭</t>
        </is>
      </c>
      <c r="E50" s="11" t="inlineStr">
        <is>
          <t>否</t>
        </is>
      </c>
      <c r="F50" s="11" t="n"/>
      <c r="G50" s="12" t="n"/>
      <c r="H50" s="11" t="inlineStr">
        <is>
          <t>不适用</t>
        </is>
      </c>
      <c r="I50" s="11" t="inlineStr">
        <is>
          <t>停用</t>
        </is>
      </c>
      <c r="J50" s="9" t="inlineStr">
        <is>
          <t>Relay 主动缓存默认关闭；确认真实供应能力后再按 V5 配置。</t>
        </is>
      </c>
      <c r="K50" s="10" t="str">
        <f>IF(A50="","",IF(COUNTIFS('渠道优先级'!$A$6:$A$105,A50,'渠道优先级'!$C$6:$C$105,B50)=0,"渠道未登记",IF(OR(C50="",D50="",E50="",H50="",I50=""),"信息不完整",IF(COUNTIFS($A$6:$A$105,A50,$B$6:$B$105,B50)&gt;1,"缓存配置重复",IF(AND(C50="隐式前缀",G50&lt;&gt;""),"隐式缓存无需有效期",IF(AND(D50="强制",E50="否"),"强制选项冲突","待系统验证"))))))</f>
        <v>待系统验证</v>
      </c>
    </row>
    <row r="51" ht="31" customHeight="1">
      <c r="A51" s="9" t="inlineStr">
        <is>
          <t>openai/gpt-oss-120b</t>
        </is>
      </c>
      <c r="B51" s="9" t="inlineStr">
        <is>
          <t>GroqCloud（规划）</t>
        </is>
      </c>
      <c r="C51" s="9" t="inlineStr">
        <is>
          <t>不使用</t>
        </is>
      </c>
      <c r="D51" s="11" t="inlineStr">
        <is>
          <t>关闭</t>
        </is>
      </c>
      <c r="E51" s="11" t="inlineStr">
        <is>
          <t>否</t>
        </is>
      </c>
      <c r="F51" s="11" t="n"/>
      <c r="G51" s="12" t="n"/>
      <c r="H51" s="11" t="inlineStr">
        <is>
          <t>不适用</t>
        </is>
      </c>
      <c r="I51" s="11" t="inlineStr">
        <is>
          <t>停用</t>
        </is>
      </c>
      <c r="J51" s="9" t="inlineStr">
        <is>
          <t>Relay 主动缓存默认关闭；确认真实供应能力后再按 V5 配置。</t>
        </is>
      </c>
      <c r="K51" s="10" t="str">
        <f>IF(A51="","",IF(COUNTIFS('渠道优先级'!$A$6:$A$105,A51,'渠道优先级'!$C$6:$C$105,B51)=0,"渠道未登记",IF(OR(C51="",D51="",E51="",H51="",I51=""),"信息不完整",IF(COUNTIFS($A$6:$A$105,A51,$B$6:$B$105,B51)&gt;1,"缓存配置重复",IF(AND(C51="隐式前缀",G51&lt;&gt;""),"隐式缓存无需有效期",IF(AND(D51="强制",E51="否"),"强制选项冲突","待系统验证"))))))</f>
        <v>待系统验证</v>
      </c>
    </row>
    <row r="52" ht="31" customHeight="1">
      <c r="A52" s="9" t="inlineStr">
        <is>
          <t>openai/gpt-oss-20b</t>
        </is>
      </c>
      <c r="B52" s="9" t="inlineStr">
        <is>
          <t>GroqCloud（规划）</t>
        </is>
      </c>
      <c r="C52" s="9" t="inlineStr">
        <is>
          <t>不使用</t>
        </is>
      </c>
      <c r="D52" s="11" t="inlineStr">
        <is>
          <t>关闭</t>
        </is>
      </c>
      <c r="E52" s="11" t="inlineStr">
        <is>
          <t>否</t>
        </is>
      </c>
      <c r="F52" s="11" t="n"/>
      <c r="G52" s="12" t="n"/>
      <c r="H52" s="11" t="inlineStr">
        <is>
          <t>不适用</t>
        </is>
      </c>
      <c r="I52" s="11" t="inlineStr">
        <is>
          <t>停用</t>
        </is>
      </c>
      <c r="J52" s="9" t="inlineStr">
        <is>
          <t>Relay 主动缓存默认关闭；确认真实供应能力后再按 V5 配置。</t>
        </is>
      </c>
      <c r="K52" s="10" t="str">
        <f>IF(A52="","",IF(COUNTIFS('渠道优先级'!$A$6:$A$105,A52,'渠道优先级'!$C$6:$C$105,B52)=0,"渠道未登记",IF(OR(C52="",D52="",E52="",H52="",I52=""),"信息不完整",IF(COUNTIFS($A$6:$A$105,A52,$B$6:$B$105,B52)&gt;1,"缓存配置重复",IF(AND(C52="隐式前缀",G52&lt;&gt;""),"隐式缓存无需有效期",IF(AND(D52="强制",E52="否"),"强制选项冲突","待系统验证"))))))</f>
        <v>待系统验证</v>
      </c>
    </row>
    <row r="53" ht="40" customHeight="1">
      <c r="A53" s="9" t="inlineStr">
        <is>
          <t>gemini-3.1-pro-preview</t>
        </is>
      </c>
      <c r="B53" s="9" t="inlineStr">
        <is>
          <t>Google 官方（规划）</t>
        </is>
      </c>
      <c r="C53" s="9" t="inlineStr">
        <is>
          <t>不使用</t>
        </is>
      </c>
      <c r="D53" s="11" t="inlineStr">
        <is>
          <t>关闭</t>
        </is>
      </c>
      <c r="E53" s="11" t="inlineStr">
        <is>
          <t>否</t>
        </is>
      </c>
      <c r="F53" s="11" t="n"/>
      <c r="G53" s="12" t="n"/>
      <c r="H53" s="11" t="inlineStr">
        <is>
          <t>不适用</t>
        </is>
      </c>
      <c r="I53" s="11" t="inlineStr">
        <is>
          <t>停用</t>
        </is>
      </c>
      <c r="J53" s="32" t="inlineStr">
        <is>
          <t>未经渠道级缓存认证，Relay 主动缓存关闭。不是对上游透明缓存的承诺。</t>
        </is>
      </c>
      <c r="K53" s="10" t="str">
        <f>IF(A53="","",IF(COUNTIFS('渠道优先级'!$A$6:$A$105,A53,'渠道优先级'!$C$6:$C$105,B53)=0,"渠道未登记",IF(OR(C53="",D53="",E53="",H53="",I53=""),"信息不完整",IF(COUNTIFS($A$6:$A$105,A53,$B$6:$B$105,B53)&gt;1,"缓存配置重复",IF(AND(C53="隐式前缀",G53&lt;&gt;""),"隐式缓存无需有效期",IF(AND(D53="强制",E53="否"),"强制选项冲突","待系统验证"))))))</f>
        <v>待系统验证</v>
      </c>
    </row>
    <row r="54" ht="40" customHeight="1">
      <c r="A54" s="9" t="inlineStr">
        <is>
          <t>gemini-3.1-pro-preview-search</t>
        </is>
      </c>
      <c r="B54" s="9" t="inlineStr">
        <is>
          <t>聚合渠道 Gemini Search（待登记）</t>
        </is>
      </c>
      <c r="C54" s="9" t="inlineStr">
        <is>
          <t>不使用</t>
        </is>
      </c>
      <c r="D54" s="11" t="inlineStr">
        <is>
          <t>关闭</t>
        </is>
      </c>
      <c r="E54" s="11" t="inlineStr">
        <is>
          <t>否</t>
        </is>
      </c>
      <c r="F54" s="11" t="n"/>
      <c r="G54" s="12" t="n"/>
      <c r="H54" s="11" t="inlineStr">
        <is>
          <t>不适用</t>
        </is>
      </c>
      <c r="I54" s="11" t="inlineStr">
        <is>
          <t>停用</t>
        </is>
      </c>
      <c r="J54" s="32" t="inlineStr">
        <is>
          <t>未经渠道级缓存认证，Relay 主动缓存关闭。不是对上游透明缓存的承诺。</t>
        </is>
      </c>
      <c r="K54" s="10" t="str">
        <f>IF(A54="","",IF(COUNTIFS('渠道优先级'!$A$6:$A$105,A54,'渠道优先级'!$C$6:$C$105,B54)=0,"渠道未登记",IF(OR(C54="",D54="",E54="",H54="",I54=""),"信息不完整",IF(COUNTIFS($A$6:$A$105,A54,$B$6:$B$105,B54)&gt;1,"缓存配置重复",IF(AND(C54="隐式前缀",G54&lt;&gt;""),"隐式缓存无需有效期",IF(AND(D54="强制",E54="否"),"强制选项冲突","待系统验证"))))))</f>
        <v>待系统验证</v>
      </c>
    </row>
    <row r="55" ht="40" customHeight="1">
      <c r="A55" s="9" t="inlineStr">
        <is>
          <t>gemini-3.5-flash-lite-free</t>
        </is>
      </c>
      <c r="B55" s="9" t="inlineStr">
        <is>
          <t>聚合渠道 Gemini Free（待登记）</t>
        </is>
      </c>
      <c r="C55" s="9" t="inlineStr">
        <is>
          <t>不使用</t>
        </is>
      </c>
      <c r="D55" s="11" t="inlineStr">
        <is>
          <t>关闭</t>
        </is>
      </c>
      <c r="E55" s="11" t="inlineStr">
        <is>
          <t>否</t>
        </is>
      </c>
      <c r="F55" s="11" t="n"/>
      <c r="G55" s="12" t="n"/>
      <c r="H55" s="11" t="inlineStr">
        <is>
          <t>不适用</t>
        </is>
      </c>
      <c r="I55" s="11" t="inlineStr">
        <is>
          <t>停用</t>
        </is>
      </c>
      <c r="J55" s="32" t="inlineStr">
        <is>
          <t>未经渠道级缓存认证，Relay 主动缓存关闭。不是对上游透明缓存的承诺。</t>
        </is>
      </c>
      <c r="K55" s="10" t="str">
        <f>IF(A55="","",IF(COUNTIFS('渠道优先级'!$A$6:$A$105,A55,'渠道优先级'!$C$6:$C$105,B55)=0,"渠道未登记",IF(OR(C55="",D55="",E55="",H55="",I55=""),"信息不完整",IF(COUNTIFS($A$6:$A$105,A55,$B$6:$B$105,B55)&gt;1,"缓存配置重复",IF(AND(C55="隐式前缀",G55&lt;&gt;""),"隐式缓存无需有效期",IF(AND(D55="强制",E55="否"),"强制选项冲突","待系统验证"))))))</f>
        <v>待系统验证</v>
      </c>
    </row>
    <row r="56" ht="40" customHeight="1">
      <c r="A56" s="9" t="inlineStr">
        <is>
          <t>grok-4.5</t>
        </is>
      </c>
      <c r="B56" s="9" t="inlineStr">
        <is>
          <t>xAI 官方（规划）</t>
        </is>
      </c>
      <c r="C56" s="9" t="inlineStr">
        <is>
          <t>不使用</t>
        </is>
      </c>
      <c r="D56" s="11" t="inlineStr">
        <is>
          <t>关闭</t>
        </is>
      </c>
      <c r="E56" s="11" t="inlineStr">
        <is>
          <t>否</t>
        </is>
      </c>
      <c r="F56" s="11" t="n"/>
      <c r="G56" s="12" t="n"/>
      <c r="H56" s="11" t="inlineStr">
        <is>
          <t>不适用</t>
        </is>
      </c>
      <c r="I56" s="11" t="inlineStr">
        <is>
          <t>停用</t>
        </is>
      </c>
      <c r="J56" s="32" t="inlineStr">
        <is>
          <t>未经渠道级缓存认证，Relay 主动缓存关闭。不是对上游透明缓存的承诺。</t>
        </is>
      </c>
      <c r="K56" s="10" t="str">
        <f>IF(A56="","",IF(COUNTIFS('渠道优先级'!$A$6:$A$105,A56,'渠道优先级'!$C$6:$C$105,B56)=0,"渠道未登记",IF(OR(C56="",D56="",E56="",H56="",I56=""),"信息不完整",IF(COUNTIFS($A$6:$A$105,A56,$B$6:$B$105,B56)&gt;1,"缓存配置重复",IF(AND(C56="隐式前缀",G56&lt;&gt;""),"隐式缓存无需有效期",IF(AND(D56="强制",E56="否"),"强制选项冲突","待系统验证"))))))</f>
        <v>待系统验证</v>
      </c>
    </row>
    <row r="57" ht="40" customHeight="1">
      <c r="A57" s="9" t="inlineStr">
        <is>
          <t>grok-4.6</t>
        </is>
      </c>
      <c r="B57" s="9" t="inlineStr">
        <is>
          <t>xAI 官方（规划）</t>
        </is>
      </c>
      <c r="C57" s="9" t="inlineStr">
        <is>
          <t>不使用</t>
        </is>
      </c>
      <c r="D57" s="11" t="inlineStr">
        <is>
          <t>关闭</t>
        </is>
      </c>
      <c r="E57" s="11" t="inlineStr">
        <is>
          <t>否</t>
        </is>
      </c>
      <c r="F57" s="11" t="n"/>
      <c r="G57" s="12" t="n"/>
      <c r="H57" s="11" t="inlineStr">
        <is>
          <t>不适用</t>
        </is>
      </c>
      <c r="I57" s="11" t="inlineStr">
        <is>
          <t>停用</t>
        </is>
      </c>
      <c r="J57" s="32" t="inlineStr">
        <is>
          <t>未经渠道级缓存认证，Relay 主动缓存关闭。不是对上游透明缓存的承诺。</t>
        </is>
      </c>
      <c r="K57" s="10" t="str">
        <f>IF(A57="","",IF(COUNTIFS('渠道优先级'!$A$6:$A$105,A57,'渠道优先级'!$C$6:$C$105,B57)=0,"渠道未登记",IF(OR(C57="",D57="",E57="",H57="",I57=""),"信息不完整",IF(COUNTIFS($A$6:$A$105,A57,$B$6:$B$105,B57)&gt;1,"缓存配置重复",IF(AND(C57="隐式前缀",G57&lt;&gt;""),"隐式缓存无需有效期",IF(AND(D57="强制",E57="否"),"强制选项冲突","待系统验证"))))))</f>
        <v>待系统验证</v>
      </c>
    </row>
    <row r="58" ht="40" customHeight="1">
      <c r="A58" s="9" t="inlineStr">
        <is>
          <t>kimi-k3</t>
        </is>
      </c>
      <c r="B58" s="9" t="inlineStr">
        <is>
          <t>Moonshot 官方（规划）</t>
        </is>
      </c>
      <c r="C58" s="9" t="inlineStr">
        <is>
          <t>不使用</t>
        </is>
      </c>
      <c r="D58" s="11" t="inlineStr">
        <is>
          <t>关闭</t>
        </is>
      </c>
      <c r="E58" s="11" t="inlineStr">
        <is>
          <t>否</t>
        </is>
      </c>
      <c r="F58" s="11" t="n"/>
      <c r="G58" s="12" t="n"/>
      <c r="H58" s="11" t="inlineStr">
        <is>
          <t>不适用</t>
        </is>
      </c>
      <c r="I58" s="11" t="inlineStr">
        <is>
          <t>停用</t>
        </is>
      </c>
      <c r="J58" s="32" t="inlineStr">
        <is>
          <t>未经渠道级缓存认证，Relay 主动缓存关闭。不是对上游透明缓存的承诺。</t>
        </is>
      </c>
      <c r="K58" s="10" t="str">
        <f>IF(A58="","",IF(COUNTIFS('渠道优先级'!$A$6:$A$105,A58,'渠道优先级'!$C$6:$C$105,B58)=0,"渠道未登记",IF(OR(C58="",D58="",E58="",H58="",I58=""),"信息不完整",IF(COUNTIFS($A$6:$A$105,A58,$B$6:$B$105,B58)&gt;1,"缓存配置重复",IF(AND(C58="隐式前缀",G58&lt;&gt;""),"隐式缓存无需有效期",IF(AND(D58="强制",E58="否"),"强制选项冲突","待系统验证"))))))</f>
        <v>待系统验证</v>
      </c>
    </row>
    <row r="59" ht="40" customHeight="1">
      <c r="A59" s="9" t="inlineStr">
        <is>
          <t>kimi-k2.7-code</t>
        </is>
      </c>
      <c r="B59" s="9" t="inlineStr">
        <is>
          <t>Moonshot 官方（规划）</t>
        </is>
      </c>
      <c r="C59" s="9" t="inlineStr">
        <is>
          <t>不使用</t>
        </is>
      </c>
      <c r="D59" s="11" t="inlineStr">
        <is>
          <t>关闭</t>
        </is>
      </c>
      <c r="E59" s="11" t="inlineStr">
        <is>
          <t>否</t>
        </is>
      </c>
      <c r="F59" s="11" t="n"/>
      <c r="G59" s="12" t="n"/>
      <c r="H59" s="11" t="inlineStr">
        <is>
          <t>不适用</t>
        </is>
      </c>
      <c r="I59" s="11" t="inlineStr">
        <is>
          <t>停用</t>
        </is>
      </c>
      <c r="J59" s="32" t="inlineStr">
        <is>
          <t>未经渠道级缓存认证，Relay 主动缓存关闭。不是对上游透明缓存的承诺。</t>
        </is>
      </c>
      <c r="K59" s="10" t="str">
        <f>IF(A59="","",IF(COUNTIFS('渠道优先级'!$A$6:$A$105,A59,'渠道优先级'!$C$6:$C$105,B59)=0,"渠道未登记",IF(OR(C59="",D59="",E59="",H59="",I59=""),"信息不完整",IF(COUNTIFS($A$6:$A$105,A59,$B$6:$B$105,B59)&gt;1,"缓存配置重复",IF(AND(C59="隐式前缀",G59&lt;&gt;""),"隐式缓存无需有效期",IF(AND(D59="强制",E59="否"),"强制选项冲突","待系统验证"))))))</f>
        <v>待系统验证</v>
      </c>
    </row>
    <row r="60" ht="40" customHeight="1">
      <c r="A60" s="9" t="inlineStr">
        <is>
          <t>claude-sonnet-5</t>
        </is>
      </c>
      <c r="B60" s="9" t="inlineStr">
        <is>
          <t>Anthropic 官方（规划）</t>
        </is>
      </c>
      <c r="C60" s="9" t="inlineStr">
        <is>
          <t>不使用</t>
        </is>
      </c>
      <c r="D60" s="11" t="inlineStr">
        <is>
          <t>关闭</t>
        </is>
      </c>
      <c r="E60" s="11" t="inlineStr">
        <is>
          <t>否</t>
        </is>
      </c>
      <c r="F60" s="11" t="n"/>
      <c r="G60" s="12" t="n"/>
      <c r="H60" s="11" t="inlineStr">
        <is>
          <t>不适用</t>
        </is>
      </c>
      <c r="I60" s="11" t="inlineStr">
        <is>
          <t>停用</t>
        </is>
      </c>
      <c r="J60" s="32" t="inlineStr">
        <is>
          <t>未经渠道级缓存认证，Relay 主动缓存关闭。不是对上游透明缓存的承诺。</t>
        </is>
      </c>
      <c r="K60" s="10" t="str">
        <f>IF(A60="","",IF(COUNTIFS('渠道优先级'!$A$6:$A$105,A60,'渠道优先级'!$C$6:$C$105,B60)=0,"渠道未登记",IF(OR(C60="",D60="",E60="",H60="",I60=""),"信息不完整",IF(COUNTIFS($A$6:$A$105,A60,$B$6:$B$105,B60)&gt;1,"缓存配置重复",IF(AND(C60="隐式前缀",G60&lt;&gt;""),"隐式缓存无需有效期",IF(AND(D60="强制",E60="否"),"强制选项冲突","待系统验证"))))))</f>
        <v>待系统验证</v>
      </c>
    </row>
    <row r="61" ht="40" customHeight="1">
      <c r="A61" s="9" t="inlineStr">
        <is>
          <t>coding-glm-5.3-free</t>
        </is>
      </c>
      <c r="B61" s="9" t="inlineStr">
        <is>
          <t>聚合渠道 GLM Coding（待登记）</t>
        </is>
      </c>
      <c r="C61" s="9" t="inlineStr">
        <is>
          <t>不使用</t>
        </is>
      </c>
      <c r="D61" s="11" t="inlineStr">
        <is>
          <t>关闭</t>
        </is>
      </c>
      <c r="E61" s="11" t="inlineStr">
        <is>
          <t>否</t>
        </is>
      </c>
      <c r="F61" s="11" t="n"/>
      <c r="G61" s="12" t="n"/>
      <c r="H61" s="11" t="inlineStr">
        <is>
          <t>不适用</t>
        </is>
      </c>
      <c r="I61" s="11" t="inlineStr">
        <is>
          <t>停用</t>
        </is>
      </c>
      <c r="J61" s="32" t="inlineStr">
        <is>
          <t>未经渠道级缓存认证，Relay 主动缓存关闭。不是对上游透明缓存的承诺。</t>
        </is>
      </c>
      <c r="K61" s="10" t="str">
        <f>IF(A61="","",IF(COUNTIFS('渠道优先级'!$A$6:$A$105,A61,'渠道优先级'!$C$6:$C$105,B61)=0,"渠道未登记",IF(OR(C61="",D61="",E61="",H61="",I61=""),"信息不完整",IF(COUNTIFS($A$6:$A$105,A61,$B$6:$B$105,B61)&gt;1,"缓存配置重复",IF(AND(C61="隐式前缀",G61&lt;&gt;""),"隐式缓存无需有效期",IF(AND(D61="强制",E61="否"),"强制选项冲突","待系统验证"))))))</f>
        <v>待系统验证</v>
      </c>
    </row>
    <row r="62" ht="40" customHeight="1">
      <c r="A62" s="9" t="inlineStr">
        <is>
          <t>xiaomi-mimo-v2.6-pro-free</t>
        </is>
      </c>
      <c r="B62" s="9" t="inlineStr">
        <is>
          <t>聚合渠道 Xiaomi Free（待登记）</t>
        </is>
      </c>
      <c r="C62" s="9" t="inlineStr">
        <is>
          <t>不使用</t>
        </is>
      </c>
      <c r="D62" s="11" t="inlineStr">
        <is>
          <t>关闭</t>
        </is>
      </c>
      <c r="E62" s="11" t="inlineStr">
        <is>
          <t>否</t>
        </is>
      </c>
      <c r="F62" s="11" t="n"/>
      <c r="G62" s="12" t="n"/>
      <c r="H62" s="11" t="inlineStr">
        <is>
          <t>不适用</t>
        </is>
      </c>
      <c r="I62" s="11" t="inlineStr">
        <is>
          <t>停用</t>
        </is>
      </c>
      <c r="J62" s="32" t="inlineStr">
        <is>
          <t>未经渠道级缓存认证，Relay 主动缓存关闭。不是对上游透明缓存的承诺。</t>
        </is>
      </c>
      <c r="K62" s="10" t="str">
        <f>IF(A62="","",IF(COUNTIFS('渠道优先级'!$A$6:$A$105,A62,'渠道优先级'!$C$6:$C$105,B62)=0,"渠道未登记",IF(OR(C62="",D62="",E62="",H62="",I62=""),"信息不完整",IF(COUNTIFS($A$6:$A$105,A62,$B$6:$B$105,B62)&gt;1,"缓存配置重复",IF(AND(C62="隐式前缀",G62&lt;&gt;""),"隐式缓存无需有效期",IF(AND(D62="强制",E62="否"),"强制选项冲突","待系统验证"))))))</f>
        <v>待系统验证</v>
      </c>
    </row>
    <row r="63" ht="40" customHeight="1">
      <c r="A63" s="9" t="inlineStr">
        <is>
          <t>gpt-6.1-sol</t>
        </is>
      </c>
      <c r="B63" s="9" t="inlineStr">
        <is>
          <t>OpenAI 官方（规划）</t>
        </is>
      </c>
      <c r="C63" s="9" t="inlineStr">
        <is>
          <t>不使用</t>
        </is>
      </c>
      <c r="D63" s="11" t="inlineStr">
        <is>
          <t>关闭</t>
        </is>
      </c>
      <c r="E63" s="11" t="inlineStr">
        <is>
          <t>否</t>
        </is>
      </c>
      <c r="F63" s="11" t="n"/>
      <c r="G63" s="12" t="n"/>
      <c r="H63" s="11" t="inlineStr">
        <is>
          <t>不适用</t>
        </is>
      </c>
      <c r="I63" s="11" t="inlineStr">
        <is>
          <t>停用</t>
        </is>
      </c>
      <c r="J63" s="32" t="inlineStr">
        <is>
          <t>未经渠道级缓存认证，Relay 主动缓存关闭。不是对上游透明缓存的承诺。</t>
        </is>
      </c>
      <c r="K63" s="10" t="str">
        <f>IF(A63="","",IF(COUNTIFS('渠道优先级'!$A$6:$A$105,A63,'渠道优先级'!$C$6:$C$105,B63)=0,"渠道未登记",IF(OR(C63="",D63="",E63="",H63="",I63=""),"信息不完整",IF(COUNTIFS($A$6:$A$105,A63,$B$6:$B$105,B63)&gt;1,"缓存配置重复",IF(AND(C63="隐式前缀",G63&lt;&gt;""),"隐式缓存无需有效期",IF(AND(D63="强制",E63="否"),"强制选项冲突","待系统验证"))))))</f>
        <v>待系统验证</v>
      </c>
    </row>
    <row r="64" ht="40" customHeight="1">
      <c r="A64" s="9" t="inlineStr">
        <is>
          <t>claude-opus-5</t>
        </is>
      </c>
      <c r="B64" s="9" t="inlineStr">
        <is>
          <t>Anthropic 官方（规划）</t>
        </is>
      </c>
      <c r="C64" s="9" t="inlineStr">
        <is>
          <t>不使用</t>
        </is>
      </c>
      <c r="D64" s="11" t="inlineStr">
        <is>
          <t>关闭</t>
        </is>
      </c>
      <c r="E64" s="11" t="inlineStr">
        <is>
          <t>否</t>
        </is>
      </c>
      <c r="F64" s="11" t="n"/>
      <c r="G64" s="12" t="n"/>
      <c r="H64" s="11" t="inlineStr">
        <is>
          <t>不适用</t>
        </is>
      </c>
      <c r="I64" s="11" t="inlineStr">
        <is>
          <t>停用</t>
        </is>
      </c>
      <c r="J64" s="32" t="inlineStr">
        <is>
          <t>未经渠道级缓存认证，Relay 主动缓存关闭。不是对上游透明缓存的承诺。</t>
        </is>
      </c>
      <c r="K64" s="10" t="str">
        <f>IF(A64="","",IF(COUNTIFS('渠道优先级'!$A$6:$A$105,A64,'渠道优先级'!$C$6:$C$105,B64)=0,"渠道未登记",IF(OR(C64="",D64="",E64="",H64="",I64=""),"信息不完整",IF(COUNTIFS($A$6:$A$105,A64,$B$6:$B$105,B64)&gt;1,"缓存配置重复",IF(AND(C64="隐式前缀",G64&lt;&gt;""),"隐式缓存无需有效期",IF(AND(D64="强制",E64="否"),"强制选项冲突","待系统验证"))))))</f>
        <v>待系统验证</v>
      </c>
    </row>
    <row r="65" ht="40" customHeight="1">
      <c r="A65" s="9" t="inlineStr">
        <is>
          <t>mimo-v2.6-pro</t>
        </is>
      </c>
      <c r="B65" s="9" t="inlineStr">
        <is>
          <t>Xiaomi 官方（规划）</t>
        </is>
      </c>
      <c r="C65" s="9" t="inlineStr">
        <is>
          <t>不使用</t>
        </is>
      </c>
      <c r="D65" s="11" t="inlineStr">
        <is>
          <t>关闭</t>
        </is>
      </c>
      <c r="E65" s="11" t="inlineStr">
        <is>
          <t>否</t>
        </is>
      </c>
      <c r="F65" s="11" t="n"/>
      <c r="G65" s="12" t="n"/>
      <c r="H65" s="11" t="inlineStr">
        <is>
          <t>不适用</t>
        </is>
      </c>
      <c r="I65" s="11" t="inlineStr">
        <is>
          <t>停用</t>
        </is>
      </c>
      <c r="J65" s="32" t="inlineStr">
        <is>
          <t>未经渠道级缓存认证，Relay 主动缓存关闭。不是对上游透明缓存的承诺。</t>
        </is>
      </c>
      <c r="K65" s="10" t="str">
        <f>IF(A65="","",IF(COUNTIFS('渠道优先级'!$A$6:$A$105,A65,'渠道优先级'!$C$6:$C$105,B65)=0,"渠道未登记",IF(OR(C65="",D65="",E65="",H65="",I65=""),"信息不完整",IF(COUNTIFS($A$6:$A$105,A65,$B$6:$B$105,B65)&gt;1,"缓存配置重复",IF(AND(C65="隐式前缀",G65&lt;&gt;""),"隐式缓存无需有效期",IF(AND(D65="强制",E65="否"),"强制选项冲突","待系统验证"))))))</f>
        <v>待系统验证</v>
      </c>
    </row>
    <row r="66" ht="40" customHeight="1">
      <c r="A66" s="9" t="inlineStr">
        <is>
          <t>glm-5.3-flash</t>
        </is>
      </c>
      <c r="B66" s="9" t="inlineStr">
        <is>
          <t>智谱官方（规划）</t>
        </is>
      </c>
      <c r="C66" s="9" t="inlineStr">
        <is>
          <t>不使用</t>
        </is>
      </c>
      <c r="D66" s="11" t="inlineStr">
        <is>
          <t>关闭</t>
        </is>
      </c>
      <c r="E66" s="11" t="inlineStr">
        <is>
          <t>否</t>
        </is>
      </c>
      <c r="F66" s="11" t="n"/>
      <c r="G66" s="12" t="n"/>
      <c r="H66" s="11" t="inlineStr">
        <is>
          <t>不适用</t>
        </is>
      </c>
      <c r="I66" s="11" t="inlineStr">
        <is>
          <t>停用</t>
        </is>
      </c>
      <c r="J66" s="32" t="inlineStr">
        <is>
          <t>未经渠道级缓存认证，Relay 主动缓存关闭。不是对上游透明缓存的承诺。</t>
        </is>
      </c>
      <c r="K66" s="10" t="str">
        <f>IF(A66="","",IF(COUNTIFS('渠道优先级'!$A$6:$A$105,A66,'渠道优先级'!$C$6:$C$105,B66)=0,"渠道未登记",IF(OR(C66="",D66="",E66="",H66="",I66=""),"信息不完整",IF(COUNTIFS($A$6:$A$105,A66,$B$6:$B$105,B66)&gt;1,"缓存配置重复",IF(AND(C66="隐式前缀",G66&lt;&gt;""),"隐式缓存无需有效期",IF(AND(D66="强制",E66="否"),"强制选项冲突","待系统验证"))))))</f>
        <v>待系统验证</v>
      </c>
    </row>
    <row r="67" ht="31" customHeight="1">
      <c r="A67" s="9" t="n"/>
      <c r="B67" s="9" t="n"/>
      <c r="C67" s="9" t="n"/>
      <c r="D67" s="11" t="n"/>
      <c r="E67" s="11" t="n"/>
      <c r="F67" s="11" t="n"/>
      <c r="G67" s="12" t="n"/>
      <c r="H67" s="11" t="n"/>
      <c r="I67" s="11" t="n"/>
      <c r="J67" s="9" t="n"/>
      <c r="K67" s="10">
        <f>IF(A67="","",IF(COUNTIFS('渠道优先级'!$A$6:$A$105,A67,'渠道优先级'!$C$6:$C$105,B67)=0,"渠道未登记",IF(OR(C67="",D67="",E67="",H67="",I67=""),"信息不完整",IF(COUNTIFS($A$6:$A$105,A67,$B$6:$B$105,B67)&gt;1,"缓存配置重复",IF(AND(C67="隐式前缀",G67&lt;&gt;""),"隐式缓存无需有效期",IF(AND(D67="强制",E67="否"),"强制选项冲突","待系统验证"))))))</f>
        <v/>
      </c>
    </row>
    <row r="68" ht="31" customHeight="1">
      <c r="A68" s="9" t="n"/>
      <c r="B68" s="9" t="n"/>
      <c r="C68" s="9" t="n"/>
      <c r="D68" s="11" t="n"/>
      <c r="E68" s="11" t="n"/>
      <c r="F68" s="11" t="n"/>
      <c r="G68" s="12" t="n"/>
      <c r="H68" s="11" t="n"/>
      <c r="I68" s="11" t="n"/>
      <c r="J68" s="9" t="n"/>
      <c r="K68" s="10">
        <f>IF(A68="","",IF(COUNTIFS('渠道优先级'!$A$6:$A$105,A68,'渠道优先级'!$C$6:$C$105,B68)=0,"渠道未登记",IF(OR(C68="",D68="",E68="",H68="",I68=""),"信息不完整",IF(COUNTIFS($A$6:$A$105,A68,$B$6:$B$105,B68)&gt;1,"缓存配置重复",IF(AND(C68="隐式前缀",G68&lt;&gt;""),"隐式缓存无需有效期",IF(AND(D68="强制",E68="否"),"强制选项冲突","待系统验证"))))))</f>
        <v/>
      </c>
    </row>
    <row r="69" ht="31" customHeight="1">
      <c r="A69" s="9" t="n"/>
      <c r="B69" s="9" t="n"/>
      <c r="C69" s="9" t="n"/>
      <c r="D69" s="11" t="n"/>
      <c r="E69" s="11" t="n"/>
      <c r="F69" s="11" t="n"/>
      <c r="G69" s="12" t="n"/>
      <c r="H69" s="11" t="n"/>
      <c r="I69" s="11" t="n"/>
      <c r="J69" s="9" t="n"/>
      <c r="K69" s="10">
        <f>IF(A69="","",IF(COUNTIFS('渠道优先级'!$A$6:$A$105,A69,'渠道优先级'!$C$6:$C$105,B69)=0,"渠道未登记",IF(OR(C69="",D69="",E69="",H69="",I69=""),"信息不完整",IF(COUNTIFS($A$6:$A$105,A69,$B$6:$B$105,B69)&gt;1,"缓存配置重复",IF(AND(C69="隐式前缀",G69&lt;&gt;""),"隐式缓存无需有效期",IF(AND(D69="强制",E69="否"),"强制选项冲突","待系统验证"))))))</f>
        <v/>
      </c>
    </row>
    <row r="70" ht="31" customHeight="1">
      <c r="A70" s="9" t="n"/>
      <c r="B70" s="9" t="n"/>
      <c r="C70" s="9" t="n"/>
      <c r="D70" s="11" t="n"/>
      <c r="E70" s="11" t="n"/>
      <c r="F70" s="11" t="n"/>
      <c r="G70" s="12" t="n"/>
      <c r="H70" s="11" t="n"/>
      <c r="I70" s="11" t="n"/>
      <c r="J70" s="9" t="n"/>
      <c r="K70" s="10">
        <f>IF(A70="","",IF(COUNTIFS('渠道优先级'!$A$6:$A$105,A70,'渠道优先级'!$C$6:$C$105,B70)=0,"渠道未登记",IF(OR(C70="",D70="",E70="",H70="",I70=""),"信息不完整",IF(COUNTIFS($A$6:$A$105,A70,$B$6:$B$105,B70)&gt;1,"缓存配置重复",IF(AND(C70="隐式前缀",G70&lt;&gt;""),"隐式缓存无需有效期",IF(AND(D70="强制",E70="否"),"强制选项冲突","待系统验证"))))))</f>
        <v/>
      </c>
    </row>
    <row r="71" ht="31" customHeight="1">
      <c r="A71" s="9" t="n"/>
      <c r="B71" s="9" t="n"/>
      <c r="C71" s="9" t="n"/>
      <c r="D71" s="11" t="n"/>
      <c r="E71" s="11" t="n"/>
      <c r="F71" s="11" t="n"/>
      <c r="G71" s="12" t="n"/>
      <c r="H71" s="11" t="n"/>
      <c r="I71" s="11" t="n"/>
      <c r="J71" s="9" t="n"/>
      <c r="K71" s="10">
        <f>IF(A71="","",IF(COUNTIFS('渠道优先级'!$A$6:$A$105,A71,'渠道优先级'!$C$6:$C$105,B71)=0,"渠道未登记",IF(OR(C71="",D71="",E71="",H71="",I71=""),"信息不完整",IF(COUNTIFS($A$6:$A$105,A71,$B$6:$B$105,B71)&gt;1,"缓存配置重复",IF(AND(C71="隐式前缀",G71&lt;&gt;""),"隐式缓存无需有效期",IF(AND(D71="强制",E71="否"),"强制选项冲突","待系统验证"))))))</f>
        <v/>
      </c>
    </row>
    <row r="72" ht="31" customHeight="1">
      <c r="A72" s="9" t="n"/>
      <c r="B72" s="9" t="n"/>
      <c r="C72" s="9" t="n"/>
      <c r="D72" s="11" t="n"/>
      <c r="E72" s="11" t="n"/>
      <c r="F72" s="11" t="n"/>
      <c r="G72" s="12" t="n"/>
      <c r="H72" s="11" t="n"/>
      <c r="I72" s="11" t="n"/>
      <c r="J72" s="9" t="n"/>
      <c r="K72" s="10">
        <f>IF(A72="","",IF(COUNTIFS('渠道优先级'!$A$6:$A$105,A72,'渠道优先级'!$C$6:$C$105,B72)=0,"渠道未登记",IF(OR(C72="",D72="",E72="",H72="",I72=""),"信息不完整",IF(COUNTIFS($A$6:$A$105,A72,$B$6:$B$105,B72)&gt;1,"缓存配置重复",IF(AND(C72="隐式前缀",G72&lt;&gt;""),"隐式缓存无需有效期",IF(AND(D72="强制",E72="否"),"强制选项冲突","待系统验证"))))))</f>
        <v/>
      </c>
    </row>
    <row r="73" ht="31" customHeight="1">
      <c r="A73" s="9" t="n"/>
      <c r="B73" s="9" t="n"/>
      <c r="C73" s="9" t="n"/>
      <c r="D73" s="11" t="n"/>
      <c r="E73" s="11" t="n"/>
      <c r="F73" s="11" t="n"/>
      <c r="G73" s="12" t="n"/>
      <c r="H73" s="11" t="n"/>
      <c r="I73" s="11" t="n"/>
      <c r="J73" s="9" t="n"/>
      <c r="K73" s="10">
        <f>IF(A73="","",IF(COUNTIFS('渠道优先级'!$A$6:$A$105,A73,'渠道优先级'!$C$6:$C$105,B73)=0,"渠道未登记",IF(OR(C73="",D73="",E73="",H73="",I73=""),"信息不完整",IF(COUNTIFS($A$6:$A$105,A73,$B$6:$B$105,B73)&gt;1,"缓存配置重复",IF(AND(C73="隐式前缀",G73&lt;&gt;""),"隐式缓存无需有效期",IF(AND(D73="强制",E73="否"),"强制选项冲突","待系统验证"))))))</f>
        <v/>
      </c>
    </row>
    <row r="74" ht="31" customHeight="1">
      <c r="A74" s="9" t="n"/>
      <c r="B74" s="9" t="n"/>
      <c r="C74" s="9" t="n"/>
      <c r="D74" s="11" t="n"/>
      <c r="E74" s="11" t="n"/>
      <c r="F74" s="11" t="n"/>
      <c r="G74" s="12" t="n"/>
      <c r="H74" s="11" t="n"/>
      <c r="I74" s="11" t="n"/>
      <c r="J74" s="9" t="n"/>
      <c r="K74" s="10">
        <f>IF(A74="","",IF(COUNTIFS('渠道优先级'!$A$6:$A$105,A74,'渠道优先级'!$C$6:$C$105,B74)=0,"渠道未登记",IF(OR(C74="",D74="",E74="",H74="",I74=""),"信息不完整",IF(COUNTIFS($A$6:$A$105,A74,$B$6:$B$105,B74)&gt;1,"缓存配置重复",IF(AND(C74="隐式前缀",G74&lt;&gt;""),"隐式缓存无需有效期",IF(AND(D74="强制",E74="否"),"强制选项冲突","待系统验证"))))))</f>
        <v/>
      </c>
    </row>
    <row r="75" ht="31" customHeight="1">
      <c r="A75" s="9" t="n"/>
      <c r="B75" s="9" t="n"/>
      <c r="C75" s="9" t="n"/>
      <c r="D75" s="11" t="n"/>
      <c r="E75" s="11" t="n"/>
      <c r="F75" s="11" t="n"/>
      <c r="G75" s="12" t="n"/>
      <c r="H75" s="11" t="n"/>
      <c r="I75" s="11" t="n"/>
      <c r="J75" s="9" t="n"/>
      <c r="K75" s="10">
        <f>IF(A75="","",IF(COUNTIFS('渠道优先级'!$A$6:$A$105,A75,'渠道优先级'!$C$6:$C$105,B75)=0,"渠道未登记",IF(OR(C75="",D75="",E75="",H75="",I75=""),"信息不完整",IF(COUNTIFS($A$6:$A$105,A75,$B$6:$B$105,B75)&gt;1,"缓存配置重复",IF(AND(C75="隐式前缀",G75&lt;&gt;""),"隐式缓存无需有效期",IF(AND(D75="强制",E75="否"),"强制选项冲突","待系统验证"))))))</f>
        <v/>
      </c>
    </row>
    <row r="76" ht="31" customHeight="1">
      <c r="A76" s="9" t="n"/>
      <c r="B76" s="9" t="n"/>
      <c r="C76" s="9" t="n"/>
      <c r="D76" s="11" t="n"/>
      <c r="E76" s="11" t="n"/>
      <c r="F76" s="11" t="n"/>
      <c r="G76" s="12" t="n"/>
      <c r="H76" s="11" t="n"/>
      <c r="I76" s="11" t="n"/>
      <c r="J76" s="9" t="n"/>
      <c r="K76" s="10">
        <f>IF(A76="","",IF(COUNTIFS('渠道优先级'!$A$6:$A$105,A76,'渠道优先级'!$C$6:$C$105,B76)=0,"渠道未登记",IF(OR(C76="",D76="",E76="",H76="",I76=""),"信息不完整",IF(COUNTIFS($A$6:$A$105,A76,$B$6:$B$105,B76)&gt;1,"缓存配置重复",IF(AND(C76="隐式前缀",G76&lt;&gt;""),"隐式缓存无需有效期",IF(AND(D76="强制",E76="否"),"强制选项冲突","待系统验证"))))))</f>
        <v/>
      </c>
    </row>
    <row r="77" ht="31" customHeight="1">
      <c r="A77" s="9" t="n"/>
      <c r="B77" s="9" t="n"/>
      <c r="C77" s="9" t="n"/>
      <c r="D77" s="11" t="n"/>
      <c r="E77" s="11" t="n"/>
      <c r="F77" s="11" t="n"/>
      <c r="G77" s="12" t="n"/>
      <c r="H77" s="11" t="n"/>
      <c r="I77" s="11" t="n"/>
      <c r="J77" s="9" t="n"/>
      <c r="K77" s="10">
        <f>IF(A77="","",IF(COUNTIFS('渠道优先级'!$A$6:$A$105,A77,'渠道优先级'!$C$6:$C$105,B77)=0,"渠道未登记",IF(OR(C77="",D77="",E77="",H77="",I77=""),"信息不完整",IF(COUNTIFS($A$6:$A$105,A77,$B$6:$B$105,B77)&gt;1,"缓存配置重复",IF(AND(C77="隐式前缀",G77&lt;&gt;""),"隐式缓存无需有效期",IF(AND(D77="强制",E77="否"),"强制选项冲突","待系统验证"))))))</f>
        <v/>
      </c>
    </row>
    <row r="78" ht="31" customHeight="1">
      <c r="A78" s="9" t="n"/>
      <c r="B78" s="9" t="n"/>
      <c r="C78" s="9" t="n"/>
      <c r="D78" s="11" t="n"/>
      <c r="E78" s="11" t="n"/>
      <c r="F78" s="11" t="n"/>
      <c r="G78" s="12" t="n"/>
      <c r="H78" s="11" t="n"/>
      <c r="I78" s="11" t="n"/>
      <c r="J78" s="9" t="n"/>
      <c r="K78" s="10">
        <f>IF(A78="","",IF(COUNTIFS('渠道优先级'!$A$6:$A$105,A78,'渠道优先级'!$C$6:$C$105,B78)=0,"渠道未登记",IF(OR(C78="",D78="",E78="",H78="",I78=""),"信息不完整",IF(COUNTIFS($A$6:$A$105,A78,$B$6:$B$105,B78)&gt;1,"缓存配置重复",IF(AND(C78="隐式前缀",G78&lt;&gt;""),"隐式缓存无需有效期",IF(AND(D78="强制",E78="否"),"强制选项冲突","待系统验证"))))))</f>
        <v/>
      </c>
    </row>
    <row r="79" ht="31" customHeight="1">
      <c r="A79" s="9" t="n"/>
      <c r="B79" s="9" t="n"/>
      <c r="C79" s="9" t="n"/>
      <c r="D79" s="11" t="n"/>
      <c r="E79" s="11" t="n"/>
      <c r="F79" s="11" t="n"/>
      <c r="G79" s="12" t="n"/>
      <c r="H79" s="11" t="n"/>
      <c r="I79" s="11" t="n"/>
      <c r="J79" s="9" t="n"/>
      <c r="K79" s="10">
        <f>IF(A79="","",IF(COUNTIFS('渠道优先级'!$A$6:$A$105,A79,'渠道优先级'!$C$6:$C$105,B79)=0,"渠道未登记",IF(OR(C79="",D79="",E79="",H79="",I79=""),"信息不完整",IF(COUNTIFS($A$6:$A$105,A79,$B$6:$B$105,B79)&gt;1,"缓存配置重复",IF(AND(C79="隐式前缀",G79&lt;&gt;""),"隐式缓存无需有效期",IF(AND(D79="强制",E79="否"),"强制选项冲突","待系统验证"))))))</f>
        <v/>
      </c>
    </row>
    <row r="80" ht="31" customHeight="1">
      <c r="A80" s="9" t="n"/>
      <c r="B80" s="9" t="n"/>
      <c r="C80" s="9" t="n"/>
      <c r="D80" s="11" t="n"/>
      <c r="E80" s="11" t="n"/>
      <c r="F80" s="11" t="n"/>
      <c r="G80" s="12" t="n"/>
      <c r="H80" s="11" t="n"/>
      <c r="I80" s="11" t="n"/>
      <c r="J80" s="9" t="n"/>
      <c r="K80" s="10">
        <f>IF(A80="","",IF(COUNTIFS('渠道优先级'!$A$6:$A$105,A80,'渠道优先级'!$C$6:$C$105,B80)=0,"渠道未登记",IF(OR(C80="",D80="",E80="",H80="",I80=""),"信息不完整",IF(COUNTIFS($A$6:$A$105,A80,$B$6:$B$105,B80)&gt;1,"缓存配置重复",IF(AND(C80="隐式前缀",G80&lt;&gt;""),"隐式缓存无需有效期",IF(AND(D80="强制",E80="否"),"强制选项冲突","待系统验证"))))))</f>
        <v/>
      </c>
    </row>
    <row r="81" ht="31" customHeight="1">
      <c r="A81" s="9" t="n"/>
      <c r="B81" s="9" t="n"/>
      <c r="C81" s="9" t="n"/>
      <c r="D81" s="11" t="n"/>
      <c r="E81" s="11" t="n"/>
      <c r="F81" s="11" t="n"/>
      <c r="G81" s="12" t="n"/>
      <c r="H81" s="11" t="n"/>
      <c r="I81" s="11" t="n"/>
      <c r="J81" s="9" t="n"/>
      <c r="K81" s="10">
        <f>IF(A81="","",IF(COUNTIFS('渠道优先级'!$A$6:$A$105,A81,'渠道优先级'!$C$6:$C$105,B81)=0,"渠道未登记",IF(OR(C81="",D81="",E81="",H81="",I81=""),"信息不完整",IF(COUNTIFS($A$6:$A$105,A81,$B$6:$B$105,B81)&gt;1,"缓存配置重复",IF(AND(C81="隐式前缀",G81&lt;&gt;""),"隐式缓存无需有效期",IF(AND(D81="强制",E81="否"),"强制选项冲突","待系统验证"))))))</f>
        <v/>
      </c>
    </row>
    <row r="82" ht="31" customHeight="1">
      <c r="A82" s="9" t="n"/>
      <c r="B82" s="9" t="n"/>
      <c r="C82" s="9" t="n"/>
      <c r="D82" s="11" t="n"/>
      <c r="E82" s="11" t="n"/>
      <c r="F82" s="11" t="n"/>
      <c r="G82" s="12" t="n"/>
      <c r="H82" s="11" t="n"/>
      <c r="I82" s="11" t="n"/>
      <c r="J82" s="9" t="n"/>
      <c r="K82" s="10">
        <f>IF(A82="","",IF(COUNTIFS('渠道优先级'!$A$6:$A$105,A82,'渠道优先级'!$C$6:$C$105,B82)=0,"渠道未登记",IF(OR(C82="",D82="",E82="",H82="",I82=""),"信息不完整",IF(COUNTIFS($A$6:$A$105,A82,$B$6:$B$105,B82)&gt;1,"缓存配置重复",IF(AND(C82="隐式前缀",G82&lt;&gt;""),"隐式缓存无需有效期",IF(AND(D82="强制",E82="否"),"强制选项冲突","待系统验证"))))))</f>
        <v/>
      </c>
    </row>
    <row r="83" ht="31" customHeight="1">
      <c r="A83" s="9" t="n"/>
      <c r="B83" s="9" t="n"/>
      <c r="C83" s="9" t="n"/>
      <c r="D83" s="11" t="n"/>
      <c r="E83" s="11" t="n"/>
      <c r="F83" s="11" t="n"/>
      <c r="G83" s="12" t="n"/>
      <c r="H83" s="11" t="n"/>
      <c r="I83" s="11" t="n"/>
      <c r="J83" s="9" t="n"/>
      <c r="K83" s="10">
        <f>IF(A83="","",IF(COUNTIFS('渠道优先级'!$A$6:$A$105,A83,'渠道优先级'!$C$6:$C$105,B83)=0,"渠道未登记",IF(OR(C83="",D83="",E83="",H83="",I83=""),"信息不完整",IF(COUNTIFS($A$6:$A$105,A83,$B$6:$B$105,B83)&gt;1,"缓存配置重复",IF(AND(C83="隐式前缀",G83&lt;&gt;""),"隐式缓存无需有效期",IF(AND(D83="强制",E83="否"),"强制选项冲突","待系统验证"))))))</f>
        <v/>
      </c>
    </row>
    <row r="84" ht="31" customHeight="1">
      <c r="A84" s="9" t="n"/>
      <c r="B84" s="9" t="n"/>
      <c r="C84" s="9" t="n"/>
      <c r="D84" s="11" t="n"/>
      <c r="E84" s="11" t="n"/>
      <c r="F84" s="11" t="n"/>
      <c r="G84" s="12" t="n"/>
      <c r="H84" s="11" t="n"/>
      <c r="I84" s="11" t="n"/>
      <c r="J84" s="9" t="n"/>
      <c r="K84" s="10">
        <f>IF(A84="","",IF(COUNTIFS('渠道优先级'!$A$6:$A$105,A84,'渠道优先级'!$C$6:$C$105,B84)=0,"渠道未登记",IF(OR(C84="",D84="",E84="",H84="",I84=""),"信息不完整",IF(COUNTIFS($A$6:$A$105,A84,$B$6:$B$105,B84)&gt;1,"缓存配置重复",IF(AND(C84="隐式前缀",G84&lt;&gt;""),"隐式缓存无需有效期",IF(AND(D84="强制",E84="否"),"强制选项冲突","待系统验证"))))))</f>
        <v/>
      </c>
    </row>
    <row r="85" ht="31" customHeight="1">
      <c r="A85" s="9" t="n"/>
      <c r="B85" s="9" t="n"/>
      <c r="C85" s="9" t="n"/>
      <c r="D85" s="11" t="n"/>
      <c r="E85" s="11" t="n"/>
      <c r="F85" s="11" t="n"/>
      <c r="G85" s="12" t="n"/>
      <c r="H85" s="11" t="n"/>
      <c r="I85" s="11" t="n"/>
      <c r="J85" s="9" t="n"/>
      <c r="K85" s="10">
        <f>IF(A85="","",IF(COUNTIFS('渠道优先级'!$A$6:$A$105,A85,'渠道优先级'!$C$6:$C$105,B85)=0,"渠道未登记",IF(OR(C85="",D85="",E85="",H85="",I85=""),"信息不完整",IF(COUNTIFS($A$6:$A$105,A85,$B$6:$B$105,B85)&gt;1,"缓存配置重复",IF(AND(C85="隐式前缀",G85&lt;&gt;""),"隐式缓存无需有效期",IF(AND(D85="强制",E85="否"),"强制选项冲突","待系统验证"))))))</f>
        <v/>
      </c>
    </row>
    <row r="86" ht="31" customHeight="1">
      <c r="A86" s="9" t="n"/>
      <c r="B86" s="9" t="n"/>
      <c r="C86" s="9" t="n"/>
      <c r="D86" s="11" t="n"/>
      <c r="E86" s="11" t="n"/>
      <c r="F86" s="11" t="n"/>
      <c r="G86" s="12" t="n"/>
      <c r="H86" s="11" t="n"/>
      <c r="I86" s="11" t="n"/>
      <c r="J86" s="9" t="n"/>
      <c r="K86" s="10">
        <f>IF(A86="","",IF(COUNTIFS('渠道优先级'!$A$6:$A$105,A86,'渠道优先级'!$C$6:$C$105,B86)=0,"渠道未登记",IF(OR(C86="",D86="",E86="",H86="",I86=""),"信息不完整",IF(COUNTIFS($A$6:$A$105,A86,$B$6:$B$105,B86)&gt;1,"缓存配置重复",IF(AND(C86="隐式前缀",G86&lt;&gt;""),"隐式缓存无需有效期",IF(AND(D86="强制",E86="否"),"强制选项冲突","待系统验证"))))))</f>
        <v/>
      </c>
    </row>
    <row r="87" ht="31" customHeight="1">
      <c r="A87" s="9" t="n"/>
      <c r="B87" s="9" t="n"/>
      <c r="C87" s="9" t="n"/>
      <c r="D87" s="11" t="n"/>
      <c r="E87" s="11" t="n"/>
      <c r="F87" s="11" t="n"/>
      <c r="G87" s="12" t="n"/>
      <c r="H87" s="11" t="n"/>
      <c r="I87" s="11" t="n"/>
      <c r="J87" s="9" t="n"/>
      <c r="K87" s="10">
        <f>IF(A87="","",IF(COUNTIFS('渠道优先级'!$A$6:$A$105,A87,'渠道优先级'!$C$6:$C$105,B87)=0,"渠道未登记",IF(OR(C87="",D87="",E87="",H87="",I87=""),"信息不完整",IF(COUNTIFS($A$6:$A$105,A87,$B$6:$B$105,B87)&gt;1,"缓存配置重复",IF(AND(C87="隐式前缀",G87&lt;&gt;""),"隐式缓存无需有效期",IF(AND(D87="强制",E87="否"),"强制选项冲突","待系统验证"))))))</f>
        <v/>
      </c>
    </row>
    <row r="88" ht="31" customHeight="1">
      <c r="A88" s="9" t="n"/>
      <c r="B88" s="9" t="n"/>
      <c r="C88" s="9" t="n"/>
      <c r="D88" s="11" t="n"/>
      <c r="E88" s="11" t="n"/>
      <c r="F88" s="11" t="n"/>
      <c r="G88" s="12" t="n"/>
      <c r="H88" s="11" t="n"/>
      <c r="I88" s="11" t="n"/>
      <c r="J88" s="9" t="n"/>
      <c r="K88" s="10">
        <f>IF(A88="","",IF(COUNTIFS('渠道优先级'!$A$6:$A$105,A88,'渠道优先级'!$C$6:$C$105,B88)=0,"渠道未登记",IF(OR(C88="",D88="",E88="",H88="",I88=""),"信息不完整",IF(COUNTIFS($A$6:$A$105,A88,$B$6:$B$105,B88)&gt;1,"缓存配置重复",IF(AND(C88="隐式前缀",G88&lt;&gt;""),"隐式缓存无需有效期",IF(AND(D88="强制",E88="否"),"强制选项冲突","待系统验证"))))))</f>
        <v/>
      </c>
    </row>
    <row r="89" ht="31" customHeight="1">
      <c r="A89" s="9" t="n"/>
      <c r="B89" s="9" t="n"/>
      <c r="C89" s="9" t="n"/>
      <c r="D89" s="11" t="n"/>
      <c r="E89" s="11" t="n"/>
      <c r="F89" s="11" t="n"/>
      <c r="G89" s="12" t="n"/>
      <c r="H89" s="11" t="n"/>
      <c r="I89" s="11" t="n"/>
      <c r="J89" s="9" t="n"/>
      <c r="K89" s="10">
        <f>IF(A89="","",IF(COUNTIFS('渠道优先级'!$A$6:$A$105,A89,'渠道优先级'!$C$6:$C$105,B89)=0,"渠道未登记",IF(OR(C89="",D89="",E89="",H89="",I89=""),"信息不完整",IF(COUNTIFS($A$6:$A$105,A89,$B$6:$B$105,B89)&gt;1,"缓存配置重复",IF(AND(C89="隐式前缀",G89&lt;&gt;""),"隐式缓存无需有效期",IF(AND(D89="强制",E89="否"),"强制选项冲突","待系统验证"))))))</f>
        <v/>
      </c>
    </row>
    <row r="90" ht="31" customHeight="1">
      <c r="A90" s="9" t="n"/>
      <c r="B90" s="9" t="n"/>
      <c r="C90" s="9" t="n"/>
      <c r="D90" s="11" t="n"/>
      <c r="E90" s="11" t="n"/>
      <c r="F90" s="11" t="n"/>
      <c r="G90" s="12" t="n"/>
      <c r="H90" s="11" t="n"/>
      <c r="I90" s="11" t="n"/>
      <c r="J90" s="9" t="n"/>
      <c r="K90" s="10">
        <f>IF(A90="","",IF(COUNTIFS('渠道优先级'!$A$6:$A$105,A90,'渠道优先级'!$C$6:$C$105,B90)=0,"渠道未登记",IF(OR(C90="",D90="",E90="",H90="",I90=""),"信息不完整",IF(COUNTIFS($A$6:$A$105,A90,$B$6:$B$105,B90)&gt;1,"缓存配置重复",IF(AND(C90="隐式前缀",G90&lt;&gt;""),"隐式缓存无需有效期",IF(AND(D90="强制",E90="否"),"强制选项冲突","待系统验证"))))))</f>
        <v/>
      </c>
    </row>
    <row r="91" ht="31" customHeight="1">
      <c r="A91" s="9" t="n"/>
      <c r="B91" s="9" t="n"/>
      <c r="C91" s="9" t="n"/>
      <c r="D91" s="11" t="n"/>
      <c r="E91" s="11" t="n"/>
      <c r="F91" s="11" t="n"/>
      <c r="G91" s="12" t="n"/>
      <c r="H91" s="11" t="n"/>
      <c r="I91" s="11" t="n"/>
      <c r="J91" s="9" t="n"/>
      <c r="K91" s="10">
        <f>IF(A91="","",IF(COUNTIFS('渠道优先级'!$A$6:$A$105,A91,'渠道优先级'!$C$6:$C$105,B91)=0,"渠道未登记",IF(OR(C91="",D91="",E91="",H91="",I91=""),"信息不完整",IF(COUNTIFS($A$6:$A$105,A91,$B$6:$B$105,B91)&gt;1,"缓存配置重复",IF(AND(C91="隐式前缀",G91&lt;&gt;""),"隐式缓存无需有效期",IF(AND(D91="强制",E91="否"),"强制选项冲突","待系统验证"))))))</f>
        <v/>
      </c>
    </row>
    <row r="92" ht="31" customHeight="1">
      <c r="A92" s="9" t="n"/>
      <c r="B92" s="9" t="n"/>
      <c r="C92" s="9" t="n"/>
      <c r="D92" s="11" t="n"/>
      <c r="E92" s="11" t="n"/>
      <c r="F92" s="11" t="n"/>
      <c r="G92" s="12" t="n"/>
      <c r="H92" s="11" t="n"/>
      <c r="I92" s="11" t="n"/>
      <c r="J92" s="9" t="n"/>
      <c r="K92" s="10">
        <f>IF(A92="","",IF(COUNTIFS('渠道优先级'!$A$6:$A$105,A92,'渠道优先级'!$C$6:$C$105,B92)=0,"渠道未登记",IF(OR(C92="",D92="",E92="",H92="",I92=""),"信息不完整",IF(COUNTIFS($A$6:$A$105,A92,$B$6:$B$105,B92)&gt;1,"缓存配置重复",IF(AND(C92="隐式前缀",G92&lt;&gt;""),"隐式缓存无需有效期",IF(AND(D92="强制",E92="否"),"强制选项冲突","待系统验证"))))))</f>
        <v/>
      </c>
    </row>
    <row r="93" ht="31" customHeight="1">
      <c r="A93" s="9" t="n"/>
      <c r="B93" s="9" t="n"/>
      <c r="C93" s="9" t="n"/>
      <c r="D93" s="11" t="n"/>
      <c r="E93" s="11" t="n"/>
      <c r="F93" s="11" t="n"/>
      <c r="G93" s="12" t="n"/>
      <c r="H93" s="11" t="n"/>
      <c r="I93" s="11" t="n"/>
      <c r="J93" s="9" t="n"/>
      <c r="K93" s="10">
        <f>IF(A93="","",IF(COUNTIFS('渠道优先级'!$A$6:$A$105,A93,'渠道优先级'!$C$6:$C$105,B93)=0,"渠道未登记",IF(OR(C93="",D93="",E93="",H93="",I93=""),"信息不完整",IF(COUNTIFS($A$6:$A$105,A93,$B$6:$B$105,B93)&gt;1,"缓存配置重复",IF(AND(C93="隐式前缀",G93&lt;&gt;""),"隐式缓存无需有效期",IF(AND(D93="强制",E93="否"),"强制选项冲突","待系统验证"))))))</f>
        <v/>
      </c>
    </row>
    <row r="94" ht="31" customHeight="1">
      <c r="A94" s="9" t="n"/>
      <c r="B94" s="9" t="n"/>
      <c r="C94" s="9" t="n"/>
      <c r="D94" s="11" t="n"/>
      <c r="E94" s="11" t="n"/>
      <c r="F94" s="11" t="n"/>
      <c r="G94" s="12" t="n"/>
      <c r="H94" s="11" t="n"/>
      <c r="I94" s="11" t="n"/>
      <c r="J94" s="9" t="n"/>
      <c r="K94" s="10">
        <f>IF(A94="","",IF(COUNTIFS('渠道优先级'!$A$6:$A$105,A94,'渠道优先级'!$C$6:$C$105,B94)=0,"渠道未登记",IF(OR(C94="",D94="",E94="",H94="",I94=""),"信息不完整",IF(COUNTIFS($A$6:$A$105,A94,$B$6:$B$105,B94)&gt;1,"缓存配置重复",IF(AND(C94="隐式前缀",G94&lt;&gt;""),"隐式缓存无需有效期",IF(AND(D94="强制",E94="否"),"强制选项冲突","待系统验证"))))))</f>
        <v/>
      </c>
    </row>
    <row r="95" ht="31" customHeight="1">
      <c r="A95" s="9" t="n"/>
      <c r="B95" s="9" t="n"/>
      <c r="C95" s="9" t="n"/>
      <c r="D95" s="11" t="n"/>
      <c r="E95" s="11" t="n"/>
      <c r="F95" s="11" t="n"/>
      <c r="G95" s="12" t="n"/>
      <c r="H95" s="11" t="n"/>
      <c r="I95" s="11" t="n"/>
      <c r="J95" s="9" t="n"/>
      <c r="K95" s="10">
        <f>IF(A95="","",IF(COUNTIFS('渠道优先级'!$A$6:$A$105,A95,'渠道优先级'!$C$6:$C$105,B95)=0,"渠道未登记",IF(OR(C95="",D95="",E95="",H95="",I95=""),"信息不完整",IF(COUNTIFS($A$6:$A$105,A95,$B$6:$B$105,B95)&gt;1,"缓存配置重复",IF(AND(C95="隐式前缀",G95&lt;&gt;""),"隐式缓存无需有效期",IF(AND(D95="强制",E95="否"),"强制选项冲突","待系统验证"))))))</f>
        <v/>
      </c>
    </row>
    <row r="96" ht="31" customHeight="1">
      <c r="A96" s="9" t="n"/>
      <c r="B96" s="9" t="n"/>
      <c r="C96" s="9" t="n"/>
      <c r="D96" s="11" t="n"/>
      <c r="E96" s="11" t="n"/>
      <c r="F96" s="11" t="n"/>
      <c r="G96" s="12" t="n"/>
      <c r="H96" s="11" t="n"/>
      <c r="I96" s="11" t="n"/>
      <c r="J96" s="9" t="n"/>
      <c r="K96" s="10">
        <f>IF(A96="","",IF(COUNTIFS('渠道优先级'!$A$6:$A$105,A96,'渠道优先级'!$C$6:$C$105,B96)=0,"渠道未登记",IF(OR(C96="",D96="",E96="",H96="",I96=""),"信息不完整",IF(COUNTIFS($A$6:$A$105,A96,$B$6:$B$105,B96)&gt;1,"缓存配置重复",IF(AND(C96="隐式前缀",G96&lt;&gt;""),"隐式缓存无需有效期",IF(AND(D96="强制",E96="否"),"强制选项冲突","待系统验证"))))))</f>
        <v/>
      </c>
    </row>
    <row r="97" ht="31" customHeight="1">
      <c r="A97" s="9" t="n"/>
      <c r="B97" s="9" t="n"/>
      <c r="C97" s="9" t="n"/>
      <c r="D97" s="11" t="n"/>
      <c r="E97" s="11" t="n"/>
      <c r="F97" s="11" t="n"/>
      <c r="G97" s="12" t="n"/>
      <c r="H97" s="11" t="n"/>
      <c r="I97" s="11" t="n"/>
      <c r="J97" s="9" t="n"/>
      <c r="K97" s="10">
        <f>IF(A97="","",IF(COUNTIFS('渠道优先级'!$A$6:$A$105,A97,'渠道优先级'!$C$6:$C$105,B97)=0,"渠道未登记",IF(OR(C97="",D97="",E97="",H97="",I97=""),"信息不完整",IF(COUNTIFS($A$6:$A$105,A97,$B$6:$B$105,B97)&gt;1,"缓存配置重复",IF(AND(C97="隐式前缀",G97&lt;&gt;""),"隐式缓存无需有效期",IF(AND(D97="强制",E97="否"),"强制选项冲突","待系统验证"))))))</f>
        <v/>
      </c>
    </row>
    <row r="98" ht="31" customHeight="1">
      <c r="A98" s="9" t="n"/>
      <c r="B98" s="9" t="n"/>
      <c r="C98" s="9" t="n"/>
      <c r="D98" s="11" t="n"/>
      <c r="E98" s="11" t="n"/>
      <c r="F98" s="11" t="n"/>
      <c r="G98" s="12" t="n"/>
      <c r="H98" s="11" t="n"/>
      <c r="I98" s="11" t="n"/>
      <c r="J98" s="9" t="n"/>
      <c r="K98" s="10">
        <f>IF(A98="","",IF(COUNTIFS('渠道优先级'!$A$6:$A$105,A98,'渠道优先级'!$C$6:$C$105,B98)=0,"渠道未登记",IF(OR(C98="",D98="",E98="",H98="",I98=""),"信息不完整",IF(COUNTIFS($A$6:$A$105,A98,$B$6:$B$105,B98)&gt;1,"缓存配置重复",IF(AND(C98="隐式前缀",G98&lt;&gt;""),"隐式缓存无需有效期",IF(AND(D98="强制",E98="否"),"强制选项冲突","待系统验证"))))))</f>
        <v/>
      </c>
    </row>
    <row r="99" ht="31" customHeight="1">
      <c r="A99" s="9" t="n"/>
      <c r="B99" s="9" t="n"/>
      <c r="C99" s="9" t="n"/>
      <c r="D99" s="11" t="n"/>
      <c r="E99" s="11" t="n"/>
      <c r="F99" s="11" t="n"/>
      <c r="G99" s="12" t="n"/>
      <c r="H99" s="11" t="n"/>
      <c r="I99" s="11" t="n"/>
      <c r="J99" s="9" t="n"/>
      <c r="K99" s="10">
        <f>IF(A99="","",IF(COUNTIFS('渠道优先级'!$A$6:$A$105,A99,'渠道优先级'!$C$6:$C$105,B99)=0,"渠道未登记",IF(OR(C99="",D99="",E99="",H99="",I99=""),"信息不完整",IF(COUNTIFS($A$6:$A$105,A99,$B$6:$B$105,B99)&gt;1,"缓存配置重复",IF(AND(C99="隐式前缀",G99&lt;&gt;""),"隐式缓存无需有效期",IF(AND(D99="强制",E99="否"),"强制选项冲突","待系统验证"))))))</f>
        <v/>
      </c>
    </row>
    <row r="100" ht="31" customHeight="1">
      <c r="A100" s="9" t="n"/>
      <c r="B100" s="9" t="n"/>
      <c r="C100" s="9" t="n"/>
      <c r="D100" s="11" t="n"/>
      <c r="E100" s="11" t="n"/>
      <c r="F100" s="11" t="n"/>
      <c r="G100" s="12" t="n"/>
      <c r="H100" s="11" t="n"/>
      <c r="I100" s="11" t="n"/>
      <c r="J100" s="9" t="n"/>
      <c r="K100" s="10">
        <f>IF(A100="","",IF(COUNTIFS('渠道优先级'!$A$6:$A$105,A100,'渠道优先级'!$C$6:$C$105,B100)=0,"渠道未登记",IF(OR(C100="",D100="",E100="",H100="",I100=""),"信息不完整",IF(COUNTIFS($A$6:$A$105,A100,$B$6:$B$105,B100)&gt;1,"缓存配置重复",IF(AND(C100="隐式前缀",G100&lt;&gt;""),"隐式缓存无需有效期",IF(AND(D100="强制",E100="否"),"强制选项冲突","待系统验证"))))))</f>
        <v/>
      </c>
    </row>
    <row r="101" ht="31" customHeight="1">
      <c r="A101" s="9" t="n"/>
      <c r="B101" s="9" t="n"/>
      <c r="C101" s="9" t="n"/>
      <c r="D101" s="11" t="n"/>
      <c r="E101" s="11" t="n"/>
      <c r="F101" s="11" t="n"/>
      <c r="G101" s="12" t="n"/>
      <c r="H101" s="11" t="n"/>
      <c r="I101" s="11" t="n"/>
      <c r="J101" s="9" t="n"/>
      <c r="K101" s="10">
        <f>IF(A101="","",IF(COUNTIFS('渠道优先级'!$A$6:$A$105,A101,'渠道优先级'!$C$6:$C$105,B101)=0,"渠道未登记",IF(OR(C101="",D101="",E101="",H101="",I101=""),"信息不完整",IF(COUNTIFS($A$6:$A$105,A101,$B$6:$B$105,B101)&gt;1,"缓存配置重复",IF(AND(C101="隐式前缀",G101&lt;&gt;""),"隐式缓存无需有效期",IF(AND(D101="强制",E101="否"),"强制选项冲突","待系统验证"))))))</f>
        <v/>
      </c>
    </row>
    <row r="102" ht="31" customHeight="1">
      <c r="A102" s="9" t="n"/>
      <c r="B102" s="9" t="n"/>
      <c r="C102" s="9" t="n"/>
      <c r="D102" s="11" t="n"/>
      <c r="E102" s="11" t="n"/>
      <c r="F102" s="11" t="n"/>
      <c r="G102" s="12" t="n"/>
      <c r="H102" s="11" t="n"/>
      <c r="I102" s="11" t="n"/>
      <c r="J102" s="9" t="n"/>
      <c r="K102" s="10">
        <f>IF(A102="","",IF(COUNTIFS('渠道优先级'!$A$6:$A$105,A102,'渠道优先级'!$C$6:$C$105,B102)=0,"渠道未登记",IF(OR(C102="",D102="",E102="",H102="",I102=""),"信息不完整",IF(COUNTIFS($A$6:$A$105,A102,$B$6:$B$105,B102)&gt;1,"缓存配置重复",IF(AND(C102="隐式前缀",G102&lt;&gt;""),"隐式缓存无需有效期",IF(AND(D102="强制",E102="否"),"强制选项冲突","待系统验证"))))))</f>
        <v/>
      </c>
    </row>
    <row r="103" ht="31" customHeight="1">
      <c r="A103" s="9" t="n"/>
      <c r="B103" s="9" t="n"/>
      <c r="C103" s="9" t="n"/>
      <c r="D103" s="11" t="n"/>
      <c r="E103" s="11" t="n"/>
      <c r="F103" s="11" t="n"/>
      <c r="G103" s="12" t="n"/>
      <c r="H103" s="11" t="n"/>
      <c r="I103" s="11" t="n"/>
      <c r="J103" s="9" t="n"/>
      <c r="K103" s="10">
        <f>IF(A103="","",IF(COUNTIFS('渠道优先级'!$A$6:$A$105,A103,'渠道优先级'!$C$6:$C$105,B103)=0,"渠道未登记",IF(OR(C103="",D103="",E103="",H103="",I103=""),"信息不完整",IF(COUNTIFS($A$6:$A$105,A103,$B$6:$B$105,B103)&gt;1,"缓存配置重复",IF(AND(C103="隐式前缀",G103&lt;&gt;""),"隐式缓存无需有效期",IF(AND(D103="强制",E103="否"),"强制选项冲突","待系统验证"))))))</f>
        <v/>
      </c>
    </row>
    <row r="104" ht="31" customHeight="1">
      <c r="A104" s="9" t="n"/>
      <c r="B104" s="9" t="n"/>
      <c r="C104" s="9" t="n"/>
      <c r="D104" s="11" t="n"/>
      <c r="E104" s="11" t="n"/>
      <c r="F104" s="11" t="n"/>
      <c r="G104" s="12" t="n"/>
      <c r="H104" s="11" t="n"/>
      <c r="I104" s="11" t="n"/>
      <c r="J104" s="9" t="n"/>
      <c r="K104" s="10">
        <f>IF(A104="","",IF(COUNTIFS('渠道优先级'!$A$6:$A$105,A104,'渠道优先级'!$C$6:$C$105,B104)=0,"渠道未登记",IF(OR(C104="",D104="",E104="",H104="",I104=""),"信息不完整",IF(COUNTIFS($A$6:$A$105,A104,$B$6:$B$105,B104)&gt;1,"缓存配置重复",IF(AND(C104="隐式前缀",G104&lt;&gt;""),"隐式缓存无需有效期",IF(AND(D104="强制",E104="否"),"强制选项冲突","待系统验证"))))))</f>
        <v/>
      </c>
    </row>
    <row r="105" ht="31" customHeight="1">
      <c r="A105" s="9" t="n"/>
      <c r="B105" s="9" t="n"/>
      <c r="C105" s="9" t="n"/>
      <c r="D105" s="11" t="n"/>
      <c r="E105" s="11" t="n"/>
      <c r="F105" s="11" t="n"/>
      <c r="G105" s="12" t="n"/>
      <c r="H105" s="11" t="n"/>
      <c r="I105" s="11" t="n"/>
      <c r="J105" s="9" t="n"/>
      <c r="K105" s="10">
        <f>IF(A105="","",IF(COUNTIFS('渠道优先级'!$A$6:$A$105,A105,'渠道优先级'!$C$6:$C$105,B105)=0,"渠道未登记",IF(OR(C105="",D105="",E105="",H105="",I105=""),"信息不完整",IF(COUNTIFS($A$6:$A$105,A105,$B$6:$B$105,B105)&gt;1,"缓存配置重复",IF(AND(C105="隐式前缀",G105&lt;&gt;""),"隐式缓存无需有效期",IF(AND(D105="强制",E105="否"),"强制选项冲突","待系统验证"))))))</f>
        <v/>
      </c>
    </row>
  </sheetData>
  <conditionalFormatting sqref="K6:K105">
    <cfRule type="expression" priority="1" dxfId="0">
      <formula>AND($K6&lt;&gt;"",$K6&lt;&gt;"待系统验证")</formula>
    </cfRule>
  </conditionalFormatting>
  <dataValidations count="7">
    <dataValidation sqref="C6:C105" showDropDown="0" showInputMessage="0" showErrorMessage="0" allowBlank="0" type="list">
      <formula1>"显式资源,隐式前缀,不使用"</formula1>
    </dataValidation>
    <dataValidation sqref="D6:D105" showDropDown="0" showInputMessage="0" showErrorMessage="0" allowBlank="0" type="list">
      <formula1>"自动,关闭,强制"</formula1>
    </dataValidation>
    <dataValidation sqref="E6:E105" showDropDown="0" showInputMessage="0" showErrorMessage="0" allowBlank="0" type="list">
      <formula1>"否,是"</formula1>
    </dataValidation>
    <dataValidation sqref="F6:F105" showDropDown="0" showInputMessage="0" showErrorMessage="0" allowBlank="0" type="whole" operator="between">
      <formula1>1</formula1>
      <formula2>1000000</formula2>
    </dataValidation>
    <dataValidation sqref="G6:G105" showDropDown="0" showInputMessage="0" showErrorMessage="0" allowBlank="0" type="whole" operator="between">
      <formula1>1</formula1>
      <formula2>10080</formula2>
    </dataValidation>
    <dataValidation sqref="H6:H105" showDropDown="0" showInputMessage="0" showErrorMessage="0" allowBlank="0" type="list">
      <formula1>"原文无缓存继续,直接失败,不适用"</formula1>
    </dataValidation>
    <dataValidation sqref="I6:I105" showDropDown="0" showInputMessage="0" showErrorMessage="0" allowBlank="0" type="list">
      <formula1>"停用,启用"</formula1>
    </dataValidation>
  </dataValidations>
  <printOptions horizontalCentered="0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8E9DAB"/>
    <outlinePr summaryBelow="1" summaryRight="1"/>
    <pageSetUpPr/>
  </sheetPr>
  <dimension ref="A1:B64"/>
  <sheetViews>
    <sheetView showGridLines="0" zoomScale="85" workbookViewId="0">
      <pane ySplit="5" topLeftCell="A6" activePane="bottomLeft" state="frozen"/>
      <selection activeCell="A1" sqref="A1"/>
    </sheetView>
  </sheetViews>
  <sheetFormatPr baseColWidth="8" defaultRowHeight="15"/>
  <cols>
    <col width="34" customWidth="1" min="1" max="1"/>
    <col width="118" customWidth="1" min="2" max="2"/>
  </cols>
  <sheetData>
    <row r="1">
      <c r="A1" s="1" t="inlineStr">
        <is>
          <t>填写说明</t>
        </is>
      </c>
    </row>
    <row r="2">
      <c r="A2" s="2" t="inlineStr">
        <is>
          <t>配置规则与范围</t>
        </is>
      </c>
    </row>
    <row r="3">
      <c r="A3" s="3" t="n"/>
    </row>
    <row r="5" ht="31" customHeight="1">
      <c r="A5" s="8" t="inlineStr">
        <is>
          <t>事项</t>
        </is>
      </c>
      <c r="B5" s="8" t="inlineStr">
        <is>
          <t>规则</t>
        </is>
      </c>
    </row>
    <row r="6" ht="40" customHeight="1">
      <c r="A6" s="17" t="inlineStr">
        <is>
          <t>模型</t>
        </is>
      </c>
      <c r="B6" s="18" t="inlineStr">
        <is>
          <t>“模型清单”中对外模型名唯一；新增模型先登记，再配渠道和缓存。</t>
        </is>
      </c>
    </row>
    <row r="7" ht="40" customHeight="1">
      <c r="A7" s="19" t="inlineStr">
        <is>
          <t>渠道</t>
        </is>
      </c>
      <c r="B7" s="20" t="inlineStr">
        <is>
          <t>“渠道优先级”每行对应一个模型、一个环境、一个渠道；渠道名称须由后端登记。</t>
        </is>
      </c>
    </row>
    <row r="8" ht="40" customHeight="1">
      <c r="A8" s="19" t="inlineStr">
        <is>
          <t>顺位</t>
        </is>
      </c>
      <c r="B8" s="20" t="inlineStr">
        <is>
          <t>同一模型、同一环境下按 1、2、3 选择；重复顺位或渠道配置拒绝发布。</t>
        </is>
      </c>
    </row>
    <row r="9" ht="40" customHeight="1">
      <c r="A9" s="19" t="inlineStr">
        <is>
          <t>新会话</t>
        </is>
      </c>
      <c r="B9" s="20" t="inlineStr">
        <is>
          <t>只在新会话建立时依次筛选启用且合格的渠道；按“不可用时”决定是否尝试下一顺位。</t>
        </is>
      </c>
    </row>
    <row r="10" ht="40" customHeight="1">
      <c r="A10" s="19" t="inlineStr">
        <is>
          <t>已绑定会话</t>
        </is>
      </c>
      <c r="B10" s="20" t="inlineStr">
        <is>
          <t>会话建立后保持原渠道与缓存上下文；运行中错误不会自动跨渠道重试。</t>
        </is>
      </c>
    </row>
    <row r="11" ht="40" customHeight="1">
      <c r="A11" s="19" t="inlineStr">
        <is>
          <t>缓存</t>
        </is>
      </c>
      <c r="B11" s="20" t="inlineStr">
        <is>
          <t>同一模型各渠道分别填写。强制缓存只在机制经渠道验证且系统已实现时允许。</t>
        </is>
      </c>
    </row>
    <row r="12" ht="40" customHeight="1">
      <c r="A12" s="19" t="inlineStr">
        <is>
          <t>缓存失败</t>
        </is>
      </c>
      <c r="B12" s="20" t="inlineStr">
        <is>
          <t>自动模式可按同一上下文无缓存继续；强制模式失败，不偷偷降级。</t>
        </is>
      </c>
    </row>
    <row r="13" ht="40" customHeight="1">
      <c r="A13" s="19" t="inlineStr">
        <is>
          <t>隐式缓存关闭</t>
        </is>
      </c>
      <c r="B13" s="20" t="inlineStr">
        <is>
          <t>“关闭”只关闭 Relay 主动缓存行为，不能关闭提供方可能自动执行的透明缓存。</t>
        </is>
      </c>
    </row>
    <row r="14" ht="40" customHeight="1">
      <c r="A14" s="19" t="inlineStr">
        <is>
          <t>发布</t>
        </is>
      </c>
      <c r="B14" s="20" t="inlineStr">
        <is>
          <t>所有示例处于停用草案。填写单元格不直接生效；系统仍须完成验证、审批与发布。</t>
        </is>
      </c>
    </row>
    <row r="15" ht="40" customHeight="1">
      <c r="A15" s="21" t="inlineStr">
        <is>
          <t>内部信息</t>
        </is>
      </c>
      <c r="B15" s="22" t="inlineStr">
        <is>
          <t>证据编号、连接编号、凭证、接口投影、哈希与版本号由后端管理，不进入用户表。</t>
        </is>
      </c>
    </row>
    <row r="18">
      <c r="A18" s="23" t="inlineStr">
        <is>
          <t>参考资料</t>
        </is>
      </c>
    </row>
    <row r="19">
      <c r="A19" s="3" t="inlineStr">
        <is>
          <t>Gemini 缓存说明</t>
        </is>
      </c>
      <c r="B19" s="3" t="inlineStr">
        <is>
          <t>https://ai.google.dev/gemini-api/docs/generate-content/caching</t>
        </is>
      </c>
    </row>
    <row r="20">
      <c r="A20" s="3" t="inlineStr">
        <is>
          <t>Gemini 4 Argon</t>
        </is>
      </c>
      <c r="B20" s="3" t="inlineStr">
        <is>
          <t>https://ai.google.dev/gemini-api/docs/models/gemini-4-argon</t>
        </is>
      </c>
    </row>
    <row r="21" ht="38" customHeight="1">
      <c r="A21" s="19" t="inlineStr">
        <is>
          <t>目录扩充声明</t>
        </is>
      </c>
      <c r="B21" s="20" t="inlineStr">
        <is>
          <t>扩充的是待认证的候选模型目录，不是部署可用模型清单；所有新增行默认暂不发布、渠道停用、缓存停用。</t>
        </is>
      </c>
    </row>
    <row r="22" ht="38" customHeight="1">
      <c r="A22" s="19" t="inlineStr">
        <is>
          <t>目标输出上限</t>
        </is>
      </c>
      <c r="B22" s="20" t="inlineStr">
        <is>
          <t>新增行的 8192 / 16384 Token 是建议的业务目标上限，不代表厂商实际输出上限。未提供能力证据时发布会被拒绝。</t>
        </is>
      </c>
    </row>
    <row r="23" ht="38" customHeight="1">
      <c r="A23" s="19" t="inlineStr">
        <is>
          <t>模型别名与渠道</t>
        </is>
      </c>
      <c r="B23" s="20" t="inlineStr">
        <is>
          <t>有些 upstream ID 属于聚合渠道，有些 latest 为可变别名，Llama 项是仓库 ID。启用前必须冻结准确的渠道、账号、区域、端点、型号和证据。</t>
        </is>
      </c>
    </row>
    <row r="24" ht="38" customHeight="1">
      <c r="A24" s="19" t="inlineStr">
        <is>
          <t>缓存安全性</t>
        </is>
      </c>
      <c r="B24" s="20" t="inlineStr">
        <is>
          <t>新增行的“不使用/关闭/停用”是 Relay 控制缓存设置，不等于供应商透明缓存必定关闭。不能通过表格推定缓存机制/TTL。</t>
        </is>
      </c>
    </row>
    <row r="26">
      <c r="A26" s="8" t="inlineStr">
        <is>
          <t>资料来源（官方/托管平台）</t>
        </is>
      </c>
      <c r="B26" s="8" t="inlineStr">
        <is>
          <t>模型目录与模型 ID 校验入口；访问日期 2026-10-28。上线前仍须验证账号、区域和具体端点。</t>
        </is>
      </c>
    </row>
    <row r="27" ht="22" customHeight="1">
      <c r="A27" s="19" t="inlineStr">
        <is>
          <t>OpenAI</t>
        </is>
      </c>
      <c r="B27" s="24" t="inlineStr">
        <is>
          <t>https://developers.openai.com/api/docs/models/all</t>
        </is>
      </c>
    </row>
    <row r="28" ht="22" customHeight="1">
      <c r="A28" s="19" t="inlineStr">
        <is>
          <t>Anthropic</t>
        </is>
      </c>
      <c r="B28" s="24" t="inlineStr">
        <is>
          <t>https://platform.claude.com/docs/en/models/overview</t>
        </is>
      </c>
    </row>
    <row r="29" ht="22" customHeight="1">
      <c r="A29" s="19" t="inlineStr">
        <is>
          <t>Gemini</t>
        </is>
      </c>
      <c r="B29" s="24" t="inlineStr">
        <is>
          <t>https://ai.google.dev/gemini-api/docs/models</t>
        </is>
      </c>
    </row>
    <row r="30" ht="22" customHeight="1">
      <c r="A30" s="19" t="inlineStr">
        <is>
          <t>Qwen</t>
        </is>
      </c>
      <c r="B30" s="24" t="inlineStr">
        <is>
          <t>https://www.alibabacloud.com/help/en/model-studio/text-generation-model</t>
        </is>
      </c>
    </row>
    <row r="31" ht="22" customHeight="1">
      <c r="A31" s="19" t="inlineStr">
        <is>
          <t>DeepSeek</t>
        </is>
      </c>
      <c r="B31" s="24" t="inlineStr">
        <is>
          <t>https://api-docs.deepseek.com/updates/</t>
        </is>
      </c>
    </row>
    <row r="32" ht="22" customHeight="1">
      <c r="A32" s="19" t="inlineStr">
        <is>
          <t>Kimi</t>
        </is>
      </c>
      <c r="B32" s="24" t="inlineStr">
        <is>
          <t>https://www.alibabacloud.com/help/en/model-studio/text-generation-model</t>
        </is>
      </c>
    </row>
    <row r="33" ht="22" customHeight="1">
      <c r="A33" s="19" t="inlineStr">
        <is>
          <t>GLM</t>
        </is>
      </c>
      <c r="B33" s="24" t="inlineStr">
        <is>
          <t>https://z.ai/blog/glm-5.3</t>
        </is>
      </c>
    </row>
    <row r="34" ht="22" customHeight="1">
      <c r="A34" s="19" t="inlineStr">
        <is>
          <t>MiniMax</t>
        </is>
      </c>
      <c r="B34" s="24" t="inlineStr">
        <is>
          <t>https://platform.minimax.io/subscribe/token-plan</t>
        </is>
      </c>
    </row>
    <row r="35" ht="22" customHeight="1">
      <c r="A35" s="19" t="inlineStr">
        <is>
          <t>Grok</t>
        </is>
      </c>
      <c r="B35" s="24" t="inlineStr">
        <is>
          <t>https://docs.x.ai/developers/models</t>
        </is>
      </c>
    </row>
    <row r="36" ht="22" customHeight="1">
      <c r="A36" s="19" t="inlineStr">
        <is>
          <t>Mistral</t>
        </is>
      </c>
      <c r="B36" s="24" t="inlineStr">
        <is>
          <t>https://docs.mistral.ai/models</t>
        </is>
      </c>
    </row>
    <row r="37" ht="22" customHeight="1">
      <c r="A37" s="19" t="inlineStr">
        <is>
          <t>Doubao</t>
        </is>
      </c>
      <c r="B37" s="24" t="inlineStr">
        <is>
          <t>https://docs.volcengine.com/docs/ark/model-list?lang=en</t>
        </is>
      </c>
    </row>
    <row r="38" ht="22" customHeight="1">
      <c r="A38" s="19" t="inlineStr">
        <is>
          <t>Baidu</t>
        </is>
      </c>
      <c r="B38" s="24" t="inlineStr">
        <is>
          <t>https://cloud.baidu.com/doc/qianfan-api/s/Dmba8k71y</t>
        </is>
      </c>
    </row>
    <row r="39" ht="22" customHeight="1">
      <c r="A39" s="19" t="inlineStr">
        <is>
          <t>Tencent</t>
        </is>
      </c>
      <c r="B39" s="24" t="inlineStr">
        <is>
          <t>https://cloud.tencent.com/document/product/1729/105701</t>
        </is>
      </c>
    </row>
    <row r="40" ht="22" customHeight="1">
      <c r="A40" s="19" t="inlineStr">
        <is>
          <t>Meta Llama</t>
        </is>
      </c>
      <c r="B40" s="24" t="inlineStr">
        <is>
          <t>https://ai.meta.com/resources/models-and-libraries/llama-downloads/</t>
        </is>
      </c>
    </row>
    <row r="41" ht="22" customHeight="1">
      <c r="A41" s="19" t="inlineStr">
        <is>
          <t>GroqCloud</t>
        </is>
      </c>
      <c r="B41" s="24" t="inlineStr">
        <is>
          <t>https://console.groq.com/docs/models</t>
        </is>
      </c>
    </row>
    <row r="42" ht="25" customHeight="1">
      <c r="A42" s="19" t="inlineStr">
        <is>
          <t>Moonshot Kimi K3</t>
        </is>
      </c>
      <c r="B42" s="24" t="inlineStr">
        <is>
          <t>https://huggingface.co/moonshotai/Kimi-K3</t>
        </is>
      </c>
    </row>
    <row r="43" ht="25" customHeight="1">
      <c r="A43" s="19" t="inlineStr">
        <is>
          <t>Moonshot Kimi Code</t>
        </is>
      </c>
      <c r="B43" s="24" t="inlineStr">
        <is>
          <t>https://huggingface.co/moonshotai/Kimi-K2.7-Code</t>
        </is>
      </c>
    </row>
    <row r="44" ht="25" customHeight="1">
      <c r="A44" s="19" t="inlineStr">
        <is>
          <t>Xiaomi 官方</t>
        </is>
      </c>
      <c r="B44" s="24" t="inlineStr">
        <is>
          <t>https://mimo.mi.com/docs/en-US/quick-start/model</t>
        </is>
      </c>
    </row>
    <row r="45" ht="25" customHeight="1">
      <c r="A45" s="19" t="inlineStr">
        <is>
          <t>Z.AI / GLM</t>
        </is>
      </c>
      <c r="B45" s="24" t="inlineStr">
        <is>
          <t>https://z.ai/blog/glm-5.3</t>
        </is>
      </c>
    </row>
    <row r="46" ht="25" customHeight="1">
      <c r="A46" s="19" t="inlineStr">
        <is>
          <t>OpenAI GPT-6</t>
        </is>
      </c>
      <c r="B46" s="24" t="inlineStr">
        <is>
          <t>https://developers.openai.com/api/docs/guides/latest-model</t>
        </is>
      </c>
    </row>
    <row r="47" ht="25" customHeight="1">
      <c r="A47" s="19" t="inlineStr">
        <is>
          <t>官方与聚合别名</t>
        </is>
      </c>
      <c r="B47" s="24" t="inlineStr">
        <is>
          <t>用户截图及补充型号；必须以对应上游平台 model-list / 实测确认为准</t>
        </is>
      </c>
    </row>
    <row r="49" ht="30" customHeight="1">
      <c r="A49" s="25" t="inlineStr">
        <is>
          <t>本轮补漏 · 型号 ID 与渠道别名核验（2026-10-28）</t>
        </is>
      </c>
    </row>
    <row r="50" ht="27" customHeight="1">
      <c r="A50" s="26" t="inlineStr">
        <is>
          <t>对外模型 ID</t>
        </is>
      </c>
      <c r="B50" s="26" t="inlineStr">
        <is>
          <t>核验分类与发布限制</t>
        </is>
      </c>
    </row>
    <row r="51" ht="46" customHeight="1">
      <c r="A51" s="27" t="inlineStr">
        <is>
          <t>gemini-3.1-pro-preview</t>
        </is>
      </c>
      <c r="B51" s="28" t="inlineStr">
        <is>
          <t>官方预览模型；Preview 型号；需按账号、区域和渠道确认仍可调用
参考：https://ai.google.dev/gemini-api/docs/models</t>
        </is>
      </c>
    </row>
    <row r="52" ht="46" customHeight="1">
      <c r="A52" s="29" t="inlineStr">
        <is>
          <t>gemini-3.1-pro-preview-search</t>
        </is>
      </c>
      <c r="B52" s="30" t="inlineStr">
        <is>
          <t>用户截图所示聚合路由别名；Google 官方目录未列出此带 -search 后缀的独立型号；是否绑定搜索工具须单独验收
参考：https://ai.google.dev/gemini-api/docs/models</t>
        </is>
      </c>
    </row>
    <row r="53" ht="46" customHeight="1">
      <c r="A53" s="27" t="inlineStr">
        <is>
          <t>gemini-3.5-flash-lite-free</t>
        </is>
      </c>
      <c r="B53" s="30" t="inlineStr">
        <is>
          <t>用户截图所示聚合免费路由别名；Google 官方型号为 gemini-3.5-flash-lite；-free 仅按截图登记，不能推断免费额度
参考：https://ai.google.dev/gemini-api/docs/models</t>
        </is>
      </c>
    </row>
    <row r="54" ht="46" customHeight="1">
      <c r="A54" s="29" t="inlineStr">
        <is>
          <t>grok-4.5</t>
        </is>
      </c>
      <c r="B54" s="31" t="inlineStr">
        <is>
          <t>官方模型 ID；具体提供范围、协议和账号可用性待认证
参考：https://docs.x.ai/developers/pricing</t>
        </is>
      </c>
    </row>
    <row r="55" ht="46" customHeight="1">
      <c r="A55" s="27" t="inlineStr">
        <is>
          <t>grok-4.6</t>
        </is>
      </c>
      <c r="B55" s="28" t="inlineStr">
        <is>
          <t>官方模型 ID；具体提供范围、协议和账号可用性待认证
参考：https://docs.x.ai/developers/pricing</t>
        </is>
      </c>
    </row>
    <row r="56" ht="46" customHeight="1">
      <c r="A56" s="29" t="inlineStr">
        <is>
          <t>kimi-k3</t>
        </is>
      </c>
      <c r="B56" s="31" t="inlineStr">
        <is>
          <t>Moonshot 模型；各渠道 ID 可能不同；Moonshot/聚合渠道实际 API 型号和参数须逐渠道冻结
参考：https://huggingface.co/moonshotai/Kimi-K3</t>
        </is>
      </c>
    </row>
    <row r="57" ht="46" customHeight="1">
      <c r="A57" s="27" t="inlineStr">
        <is>
          <t>kimi-k2.7-code</t>
        </is>
      </c>
      <c r="B57" s="28" t="inlineStr">
        <is>
          <t>Moonshot 编码模型；官方权重名称与 API ID 区别；编码模型；推理参数与可用接入协议单独验证
参考：https://huggingface.co/moonshotai/Kimi-K2.7-Code</t>
        </is>
      </c>
    </row>
    <row r="58" ht="46" customHeight="1">
      <c r="A58" s="29" t="inlineStr">
        <is>
          <t>claude-sonnet-5</t>
        </is>
      </c>
      <c r="B58" s="31" t="inlineStr">
        <is>
          <t>官方 API 模型 ID；不是 Claude Sonnet 5.5；两者作为独立型号冻结
参考：https://platform.claude.com/docs/en/models/overview</t>
        </is>
      </c>
    </row>
    <row r="59" ht="46" customHeight="1">
      <c r="A59" s="27" t="inlineStr">
        <is>
          <t>coding-glm-5.3-free</t>
        </is>
      </c>
      <c r="B59" s="30" t="inlineStr">
        <is>
          <t>用户提供的聚合免费路由别名；不等于 Z.AI 官方 glm-5.3；免费/限流/代码接口需渠道认证
参考：https://zcode.z.ai/cn/docs/configuration</t>
        </is>
      </c>
    </row>
    <row r="60" ht="46" customHeight="1">
      <c r="A60" s="29" t="inlineStr">
        <is>
          <t>xiaomi-mimo-v2.6-pro-free</t>
        </is>
      </c>
      <c r="B60" s="30" t="inlineStr">
        <is>
          <t>用户提供的聚合免费路由别名；小米官方 ID 为 mimo-v2.6-pro；-free 是独立聚合渠道路由声明
参考：https://mimo.mi.com/docs/en-US/quick-start/model</t>
        </is>
      </c>
    </row>
    <row r="61" ht="46" customHeight="1">
      <c r="A61" s="27" t="inlineStr">
        <is>
          <t>gpt-6.1-sol</t>
        </is>
      </c>
      <c r="B61" s="28" t="inlineStr">
        <is>
          <t>额外补漏：官方新版模型 ID；不能用 gpt-6-sol 的旧档位或协议兼容假设代替新版认证
参考：https://developers.openai.com/api/docs/models/all</t>
        </is>
      </c>
    </row>
    <row r="62" ht="46" customHeight="1">
      <c r="A62" s="29" t="inlineStr">
        <is>
          <t>claude-opus-5</t>
        </is>
      </c>
      <c r="B62" s="31" t="inlineStr">
        <is>
          <t>额外补漏：官方历史活跃模型 ID；与 claude-opus-5-5 分开管理，不自动合并
参考：https://platform.claude.com/docs/en/models/overview</t>
        </is>
      </c>
    </row>
    <row r="63" ht="46" customHeight="1">
      <c r="A63" s="27" t="inlineStr">
        <is>
          <t>mimo-v2.6-pro</t>
        </is>
      </c>
      <c r="B63" s="28" t="inlineStr">
        <is>
          <t>额外补漏：小米官方 API 模型 ID；官方直连与 xiaomi-mimo-v2.6-pro-free 不能共用供应身份
参考：https://mimo.mi.com/docs/en-US/quick-start/model</t>
        </is>
      </c>
    </row>
    <row r="64" ht="46" customHeight="1">
      <c r="A64" s="29" t="inlineStr">
        <is>
          <t>glm-5.3-flash</t>
        </is>
      </c>
      <c r="B64" s="31" t="inlineStr">
        <is>
          <t>额外补漏：GLM 官方 Flash 型号；与 coding-glm-5.3-free 为不同 ID；需要独立渠道认证
参考：https://zcode.z.ai/cn/docs/configuration</t>
        </is>
      </c>
    </row>
  </sheetData>
  <mergeCells count="1">
    <mergeCell ref="A49:B49"/>
  </mergeCells>
  <hyperlinks>
    <hyperlink xmlns:r="http://schemas.openxmlformats.org/officeDocument/2006/relationships" ref="B27" r:id="rId1"/>
    <hyperlink xmlns:r="http://schemas.openxmlformats.org/officeDocument/2006/relationships" ref="B28" r:id="rId2"/>
    <hyperlink xmlns:r="http://schemas.openxmlformats.org/officeDocument/2006/relationships" ref="B29" r:id="rId3"/>
    <hyperlink xmlns:r="http://schemas.openxmlformats.org/officeDocument/2006/relationships" ref="B30" r:id="rId4"/>
    <hyperlink xmlns:r="http://schemas.openxmlformats.org/officeDocument/2006/relationships" ref="B31" r:id="rId5"/>
    <hyperlink xmlns:r="http://schemas.openxmlformats.org/officeDocument/2006/relationships" ref="B32" r:id="rId6"/>
    <hyperlink xmlns:r="http://schemas.openxmlformats.org/officeDocument/2006/relationships" ref="B33" r:id="rId7"/>
    <hyperlink xmlns:r="http://schemas.openxmlformats.org/officeDocument/2006/relationships" ref="B34" r:id="rId8"/>
    <hyperlink xmlns:r="http://schemas.openxmlformats.org/officeDocument/2006/relationships" ref="B35" r:id="rId9"/>
    <hyperlink xmlns:r="http://schemas.openxmlformats.org/officeDocument/2006/relationships" ref="B36" r:id="rId10"/>
    <hyperlink xmlns:r="http://schemas.openxmlformats.org/officeDocument/2006/relationships" ref="B37" r:id="rId11"/>
    <hyperlink xmlns:r="http://schemas.openxmlformats.org/officeDocument/2006/relationships" ref="B38" r:id="rId12"/>
    <hyperlink xmlns:r="http://schemas.openxmlformats.org/officeDocument/2006/relationships" ref="B39" r:id="rId13"/>
    <hyperlink xmlns:r="http://schemas.openxmlformats.org/officeDocument/2006/relationships" ref="B40" r:id="rId14"/>
    <hyperlink xmlns:r="http://schemas.openxmlformats.org/officeDocument/2006/relationships" ref="B41" r:id="rId15"/>
  </hyperlinks>
  <pageMargins left="0.7" right="0.7" top="0.75" bottom="0.75" header="0.3" footer="0.3"/>
  <tableParts count="3"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2026-10-28T14:22:32Z</dcterms:created>
  <dcterms:modified xmlns:dcterms="http://purl.org/dc/terms/" xmlns:xsi="http://www.w3.org/2001/XMLSchema-instance" xsi:type="dcterms:W3CDTF">2026-10-28T14:55:30Z</dcterms:modified>
</cp:coreProperties>
</file>